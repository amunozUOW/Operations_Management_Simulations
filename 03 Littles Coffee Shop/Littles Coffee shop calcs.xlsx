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/>
  <xr:revisionPtr revIDLastSave="438" documentId="11_0B1D56BE9CDCCE836B02CE7A5FB0D4A9BBFD1C62" xr6:coauthVersionLast="47" xr6:coauthVersionMax="47" xr10:uidLastSave="{5C528C06-E358-4A77-8400-DF9601868C3E}"/>
  <bookViews>
    <workbookView xWindow="240" yWindow="105" windowWidth="14805" windowHeight="8010" activeTab="1" xr2:uid="{00000000-000D-0000-FFFF-FFFF00000000}"/>
  </bookViews>
  <sheets>
    <sheet name="Single Station" sheetId="1" r:id="rId1"/>
    <sheet name="Three St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5" i="1"/>
  <c r="D35" i="1" s="1"/>
  <c r="B34" i="1"/>
  <c r="D34" i="1" s="1"/>
  <c r="B33" i="1"/>
  <c r="D33" i="1" s="1"/>
  <c r="B31" i="1"/>
  <c r="B32" i="1" s="1"/>
  <c r="B28" i="1"/>
  <c r="D28" i="1" s="1"/>
  <c r="B27" i="1"/>
  <c r="D27" i="1" s="1"/>
  <c r="B26" i="1"/>
  <c r="D26" i="1" s="1"/>
  <c r="B24" i="1"/>
  <c r="B25" i="1" s="1"/>
  <c r="B20" i="1"/>
  <c r="B19" i="1"/>
  <c r="B18" i="1"/>
  <c r="B17" i="1"/>
  <c r="B16" i="1"/>
  <c r="B21" i="2"/>
  <c r="D4" i="2"/>
  <c r="B20" i="2"/>
  <c r="B12" i="2"/>
  <c r="B13" i="2"/>
  <c r="B24" i="2"/>
  <c r="D18" i="1"/>
  <c r="D20" i="1"/>
  <c r="D19" i="1"/>
  <c r="B3" i="1"/>
  <c r="B8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3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22" i="2" l="1"/>
  <c r="G13" i="2"/>
  <c r="G4" i="2"/>
  <c r="G14" i="2"/>
  <c r="G19" i="2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G18" i="2" l="1"/>
  <c r="G17" i="2"/>
  <c r="G23" i="2"/>
  <c r="G28" i="2" s="1"/>
  <c r="G5" i="2"/>
  <c r="G15" i="2"/>
  <c r="G16" i="2" s="1"/>
  <c r="G6" i="2"/>
  <c r="G7" i="2" s="1"/>
  <c r="G10" i="2"/>
  <c r="I10" i="2" s="1"/>
  <c r="I19" i="2"/>
  <c r="I18" i="2"/>
  <c r="I17" i="2"/>
  <c r="B22" i="2"/>
  <c r="B23" i="2" s="1"/>
  <c r="B26" i="2"/>
  <c r="B25" i="2"/>
  <c r="D26" i="2"/>
  <c r="D25" i="2"/>
  <c r="D24" i="2"/>
  <c r="I3" i="1"/>
  <c r="L3" i="1" s="1"/>
  <c r="J3" i="1"/>
  <c r="G27" i="2" l="1"/>
  <c r="G26" i="2"/>
  <c r="I26" i="2" s="1"/>
  <c r="I27" i="2"/>
  <c r="I28" i="2"/>
  <c r="G24" i="2"/>
  <c r="G25" i="2" s="1"/>
  <c r="G9" i="2"/>
  <c r="I9" i="2" s="1"/>
  <c r="G8" i="2"/>
  <c r="I8" i="2" s="1"/>
  <c r="P3" i="1"/>
  <c r="M3" i="1"/>
  <c r="N3" i="1" s="1"/>
  <c r="O3" i="1"/>
  <c r="I4" i="1"/>
  <c r="L4" i="1" s="1"/>
  <c r="J4" i="1"/>
  <c r="P4" i="1" l="1"/>
  <c r="O4" i="1"/>
  <c r="I5" i="1"/>
  <c r="L5" i="1" s="1"/>
  <c r="J5" i="1"/>
  <c r="P5" i="1" l="1"/>
  <c r="O5" i="1"/>
  <c r="I6" i="1"/>
  <c r="L6" i="1" s="1"/>
  <c r="J6" i="1"/>
  <c r="P6" i="1" l="1"/>
  <c r="O6" i="1"/>
  <c r="I7" i="1"/>
  <c r="L7" i="1" s="1"/>
  <c r="J7" i="1"/>
  <c r="P7" i="1" l="1"/>
  <c r="O7" i="1"/>
  <c r="I8" i="1"/>
  <c r="L8" i="1" s="1"/>
  <c r="J8" i="1"/>
  <c r="P8" i="1" l="1"/>
  <c r="O8" i="1"/>
  <c r="I9" i="1"/>
  <c r="L9" i="1" s="1"/>
  <c r="J9" i="1"/>
  <c r="P9" i="1" l="1"/>
  <c r="O9" i="1"/>
  <c r="I10" i="1"/>
  <c r="L10" i="1" s="1"/>
  <c r="J10" i="1"/>
  <c r="P10" i="1" l="1"/>
  <c r="O10" i="1"/>
  <c r="I11" i="1"/>
  <c r="L11" i="1" s="1"/>
  <c r="J11" i="1"/>
  <c r="P11" i="1" l="1"/>
  <c r="O11" i="1"/>
  <c r="I12" i="1"/>
  <c r="L12" i="1" s="1"/>
  <c r="J12" i="1"/>
  <c r="P12" i="1" l="1"/>
  <c r="O12" i="1"/>
  <c r="I13" i="1"/>
  <c r="L13" i="1" s="1"/>
  <c r="J13" i="1"/>
  <c r="P13" i="1" l="1"/>
  <c r="O13" i="1"/>
  <c r="I14" i="1"/>
  <c r="L14" i="1" s="1"/>
  <c r="J14" i="1"/>
  <c r="P14" i="1" l="1"/>
  <c r="O14" i="1"/>
  <c r="I15" i="1"/>
  <c r="L15" i="1" s="1"/>
  <c r="J15" i="1"/>
  <c r="P15" i="1" l="1"/>
  <c r="O15" i="1"/>
  <c r="I16" i="1"/>
  <c r="L16" i="1" s="1"/>
  <c r="J16" i="1"/>
  <c r="P16" i="1" l="1"/>
  <c r="O16" i="1"/>
  <c r="I17" i="1"/>
  <c r="L17" i="1" s="1"/>
  <c r="J17" i="1"/>
  <c r="P17" i="1" l="1"/>
  <c r="O17" i="1"/>
  <c r="I18" i="1"/>
  <c r="L18" i="1" s="1"/>
  <c r="J18" i="1"/>
  <c r="P18" i="1" l="1"/>
  <c r="O18" i="1"/>
  <c r="I19" i="1"/>
  <c r="L19" i="1" s="1"/>
  <c r="J19" i="1"/>
  <c r="P19" i="1" l="1"/>
  <c r="O19" i="1"/>
  <c r="I20" i="1"/>
  <c r="L20" i="1" s="1"/>
  <c r="J20" i="1"/>
  <c r="P20" i="1" l="1"/>
  <c r="O20" i="1"/>
  <c r="I21" i="1"/>
  <c r="L21" i="1" s="1"/>
  <c r="J21" i="1"/>
  <c r="P21" i="1" l="1"/>
  <c r="O21" i="1"/>
  <c r="I22" i="1"/>
  <c r="L22" i="1" s="1"/>
  <c r="J22" i="1"/>
  <c r="P22" i="1" l="1"/>
  <c r="O22" i="1"/>
  <c r="I23" i="1"/>
  <c r="L23" i="1" s="1"/>
  <c r="J23" i="1"/>
  <c r="P23" i="1" l="1"/>
  <c r="O23" i="1"/>
  <c r="I24" i="1"/>
  <c r="L24" i="1" s="1"/>
  <c r="J24" i="1"/>
  <c r="P24" i="1" l="1"/>
  <c r="O24" i="1"/>
  <c r="I25" i="1"/>
  <c r="L25" i="1" s="1"/>
  <c r="J25" i="1"/>
  <c r="P25" i="1" l="1"/>
  <c r="O25" i="1"/>
  <c r="I26" i="1"/>
  <c r="L26" i="1" s="1"/>
  <c r="J26" i="1"/>
  <c r="P26" i="1" l="1"/>
  <c r="O26" i="1"/>
  <c r="I27" i="1"/>
  <c r="L27" i="1" s="1"/>
  <c r="J27" i="1"/>
  <c r="P27" i="1" l="1"/>
  <c r="O27" i="1"/>
  <c r="I28" i="1"/>
  <c r="L28" i="1" s="1"/>
  <c r="J28" i="1"/>
  <c r="P28" i="1" l="1"/>
  <c r="O28" i="1"/>
  <c r="I29" i="1"/>
  <c r="L29" i="1" s="1"/>
  <c r="J29" i="1"/>
  <c r="P29" i="1" l="1"/>
  <c r="O29" i="1"/>
  <c r="I30" i="1"/>
  <c r="L30" i="1" s="1"/>
  <c r="J30" i="1"/>
  <c r="P30" i="1" l="1"/>
  <c r="O30" i="1"/>
  <c r="I31" i="1"/>
  <c r="L31" i="1" s="1"/>
  <c r="J31" i="1"/>
  <c r="P31" i="1" l="1"/>
  <c r="O31" i="1"/>
  <c r="I32" i="1"/>
  <c r="L32" i="1" s="1"/>
  <c r="J32" i="1"/>
  <c r="P32" i="1" l="1"/>
  <c r="O32" i="1"/>
  <c r="I33" i="1"/>
  <c r="L33" i="1" s="1"/>
  <c r="J33" i="1"/>
  <c r="P33" i="1" l="1"/>
  <c r="O33" i="1"/>
  <c r="I34" i="1"/>
  <c r="L34" i="1" s="1"/>
  <c r="J34" i="1"/>
  <c r="P34" i="1" l="1"/>
  <c r="O34" i="1"/>
  <c r="I35" i="1"/>
  <c r="L35" i="1" s="1"/>
  <c r="J35" i="1"/>
  <c r="P35" i="1" l="1"/>
  <c r="O35" i="1"/>
  <c r="I36" i="1"/>
  <c r="L36" i="1" s="1"/>
  <c r="J36" i="1"/>
  <c r="P36" i="1" l="1"/>
  <c r="O36" i="1"/>
  <c r="I37" i="1"/>
  <c r="L37" i="1" s="1"/>
  <c r="J37" i="1"/>
  <c r="P37" i="1" l="1"/>
  <c r="O37" i="1"/>
  <c r="I38" i="1"/>
  <c r="L38" i="1" s="1"/>
  <c r="J38" i="1"/>
  <c r="P38" i="1" l="1"/>
  <c r="O38" i="1"/>
  <c r="I39" i="1"/>
  <c r="L39" i="1" s="1"/>
  <c r="J39" i="1"/>
  <c r="P39" i="1" l="1"/>
  <c r="O39" i="1"/>
  <c r="I40" i="1"/>
  <c r="L40" i="1" s="1"/>
  <c r="J40" i="1"/>
  <c r="P40" i="1" l="1"/>
  <c r="O40" i="1"/>
  <c r="I41" i="1"/>
  <c r="L41" i="1" s="1"/>
  <c r="J41" i="1"/>
  <c r="P41" i="1" l="1"/>
  <c r="O41" i="1"/>
  <c r="I42" i="1"/>
  <c r="L42" i="1" s="1"/>
  <c r="J42" i="1"/>
  <c r="P42" i="1" l="1"/>
  <c r="O42" i="1"/>
  <c r="I43" i="1"/>
  <c r="L43" i="1" s="1"/>
  <c r="J43" i="1"/>
  <c r="P43" i="1" l="1"/>
  <c r="O43" i="1"/>
  <c r="I44" i="1"/>
  <c r="L44" i="1" s="1"/>
  <c r="J44" i="1"/>
  <c r="P44" i="1" l="1"/>
  <c r="O44" i="1"/>
  <c r="I45" i="1"/>
  <c r="L45" i="1" s="1"/>
  <c r="J45" i="1"/>
  <c r="P45" i="1" l="1"/>
  <c r="O45" i="1"/>
  <c r="I46" i="1"/>
  <c r="L46" i="1" s="1"/>
  <c r="J46" i="1"/>
  <c r="P46" i="1" l="1"/>
  <c r="O46" i="1"/>
  <c r="I47" i="1"/>
  <c r="L47" i="1" s="1"/>
  <c r="J47" i="1"/>
  <c r="P47" i="1" l="1"/>
  <c r="O47" i="1"/>
  <c r="I48" i="1"/>
  <c r="L48" i="1" s="1"/>
  <c r="J48" i="1"/>
  <c r="P48" i="1" l="1"/>
  <c r="O48" i="1"/>
  <c r="I49" i="1"/>
  <c r="L49" i="1" s="1"/>
  <c r="J49" i="1"/>
  <c r="P49" i="1" l="1"/>
  <c r="O49" i="1"/>
  <c r="I50" i="1"/>
  <c r="L50" i="1" s="1"/>
  <c r="J50" i="1"/>
  <c r="P50" i="1" l="1"/>
  <c r="O50" i="1"/>
  <c r="I51" i="1"/>
  <c r="L51" i="1" s="1"/>
  <c r="J51" i="1"/>
  <c r="P51" i="1" l="1"/>
  <c r="O51" i="1"/>
  <c r="I52" i="1"/>
  <c r="L52" i="1" s="1"/>
  <c r="J52" i="1"/>
  <c r="P52" i="1" l="1"/>
  <c r="O52" i="1"/>
  <c r="I53" i="1"/>
  <c r="J53" i="1"/>
  <c r="L53" i="1" l="1"/>
  <c r="B9" i="1"/>
  <c r="O53" i="1"/>
  <c r="B12" i="1" s="1"/>
  <c r="P53" i="1" l="1"/>
  <c r="B10" i="1" s="1"/>
  <c r="B11" i="1"/>
</calcChain>
</file>

<file path=xl/sharedStrings.xml><?xml version="1.0" encoding="utf-8"?>
<sst xmlns="http://schemas.openxmlformats.org/spreadsheetml/2006/main" count="140" uniqueCount="56">
  <si>
    <t>Only works if Cycle time is exactly 1</t>
  </si>
  <si>
    <t>Queue (t)</t>
  </si>
  <si>
    <t>Experimental Variables</t>
  </si>
  <si>
    <t>Time</t>
  </si>
  <si>
    <t>Number of Arrivals</t>
  </si>
  <si>
    <t>Customers needing service</t>
  </si>
  <si>
    <t>Service Capacity</t>
  </si>
  <si>
    <t>Servers Busy</t>
  </si>
  <si>
    <t>Available Servers</t>
  </si>
  <si>
    <t>Can Start Service</t>
  </si>
  <si>
    <t>Customers in system</t>
  </si>
  <si>
    <t>Time in system</t>
  </si>
  <si>
    <t>Arrival Rate</t>
  </si>
  <si>
    <t>MInutes/Customer</t>
  </si>
  <si>
    <t>Cycle Time (CT)</t>
  </si>
  <si>
    <t>minutes</t>
  </si>
  <si>
    <t>Number of Staff</t>
  </si>
  <si>
    <t>Barista</t>
  </si>
  <si>
    <t>Duration of period</t>
  </si>
  <si>
    <t xml:space="preserve">minutes </t>
  </si>
  <si>
    <t>Outputs</t>
  </si>
  <si>
    <t>Actual Arrival</t>
  </si>
  <si>
    <t>minutes per customer</t>
  </si>
  <si>
    <t>Average Queue Length</t>
  </si>
  <si>
    <t>Customers</t>
  </si>
  <si>
    <t>Average Time in System</t>
  </si>
  <si>
    <t>Average Utilisation</t>
  </si>
  <si>
    <t>Average Number in System</t>
  </si>
  <si>
    <t>First version has max arrivals 57.3, min 52.9, so 2 staff should sort it out.</t>
  </si>
  <si>
    <t>Total customers (WIP)</t>
  </si>
  <si>
    <t>Throughput Time (1 staff) (WIP * CT)</t>
  </si>
  <si>
    <t>#Staff to finish within duration</t>
  </si>
  <si>
    <t>Staff</t>
  </si>
  <si>
    <t>Considering queue</t>
  </si>
  <si>
    <t>Utilisation of staff (1 staff)</t>
  </si>
  <si>
    <t>Utilisation of staff (2 staff)</t>
  </si>
  <si>
    <t>Utilisation of staff (3 staff)</t>
  </si>
  <si>
    <t>Second version with more variance max 85, min 30,</t>
  </si>
  <si>
    <t>MIN</t>
  </si>
  <si>
    <t>MAX</t>
  </si>
  <si>
    <t>THree Station calcs</t>
  </si>
  <si>
    <t>Total customers for the duration</t>
  </si>
  <si>
    <t>Stage 1</t>
  </si>
  <si>
    <t>Cycle Time (CT) Stage 1</t>
  </si>
  <si>
    <t>Number of Staff Stage 1</t>
  </si>
  <si>
    <t>Cycle Time (CT) Stage 2</t>
  </si>
  <si>
    <t>Number of Staff Stage 2</t>
  </si>
  <si>
    <t>Cycle Time (CT) Stage 3</t>
  </si>
  <si>
    <t>Number of Staff Stage 3</t>
  </si>
  <si>
    <t>Total cycle time (if no queing)</t>
  </si>
  <si>
    <t>Stage 2</t>
  </si>
  <si>
    <t>Sum of staff</t>
  </si>
  <si>
    <t>Baristas</t>
  </si>
  <si>
    <t>Aggregate metrics</t>
  </si>
  <si>
    <t>Stage 3</t>
  </si>
  <si>
    <t>w/Queue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</si>
</sst>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9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opLeftCell="A14" workbookViewId="0">
      <selection activeCell="D31" sqref="D31"/>
    </sheetView>
  </sheetViews>
  <sheetFormatPr defaultRowHeight="15"/>
  <cols>
    <col min="1" max="1" width="31" customWidth="1"/>
    <col min="7" max="7" width="10.140625" bestFit="1" customWidth="1"/>
    <col min="8" max="8" width="16.7109375" bestFit="1" customWidth="1"/>
    <col min="9" max="9" width="24" bestFit="1" customWidth="1"/>
    <col min="11" max="11" width="15.140625" bestFit="1" customWidth="1"/>
    <col min="12" max="12" width="11.7109375" bestFit="1" customWidth="1"/>
    <col min="13" max="14" width="15.42578125" bestFit="1" customWidth="1"/>
    <col min="15" max="15" width="18.85546875" bestFit="1" customWidth="1"/>
    <col min="16" max="16" width="13.5703125" bestFit="1" customWidth="1"/>
  </cols>
  <sheetData>
    <row r="1" spans="1:16">
      <c r="G1" s="3" t="s">
        <v>0</v>
      </c>
      <c r="J1" t="s">
        <v>1</v>
      </c>
    </row>
    <row r="2" spans="1:16">
      <c r="B2" t="s">
        <v>2</v>
      </c>
      <c r="G2" s="1" t="s">
        <v>3</v>
      </c>
      <c r="H2" s="1" t="s">
        <v>4</v>
      </c>
      <c r="I2" s="1" t="s">
        <v>5</v>
      </c>
      <c r="J2" s="1">
        <v>0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</row>
    <row r="3" spans="1:16">
      <c r="A3" t="s">
        <v>12</v>
      </c>
      <c r="B3">
        <f>60/55</f>
        <v>1.0909090909090908</v>
      </c>
      <c r="C3" t="s">
        <v>13</v>
      </c>
      <c r="G3" s="1">
        <v>0</v>
      </c>
      <c r="H3" s="1">
        <f ca="1">1/$B$8</f>
        <v>0.89960214075970668</v>
      </c>
      <c r="I3" s="1">
        <f ca="1">H3+J2</f>
        <v>0.89960214075970668</v>
      </c>
      <c r="J3" s="1">
        <f ca="1">MAX(0,(H3+J2-K3))</f>
        <v>0</v>
      </c>
      <c r="K3" s="1">
        <f>$B$5</f>
        <v>1</v>
      </c>
      <c r="L3" s="1">
        <f ca="1">CEILING(MIN(J2+I3,K3),1)</f>
        <v>1</v>
      </c>
      <c r="M3" s="1">
        <f ca="1">K3-L3</f>
        <v>0</v>
      </c>
      <c r="N3" s="1">
        <f ca="1">MIN(H3+J2,M3)</f>
        <v>0</v>
      </c>
      <c r="O3" s="1">
        <f ca="1">J3+MIN(J2+H3,L3)</f>
        <v>0.89960214075970668</v>
      </c>
      <c r="P3" s="1">
        <f ca="1">$B$4+(J3/L3)</f>
        <v>2</v>
      </c>
    </row>
    <row r="4" spans="1:16">
      <c r="A4" t="s">
        <v>14</v>
      </c>
      <c r="B4">
        <v>2</v>
      </c>
      <c r="C4" t="s">
        <v>15</v>
      </c>
      <c r="G4" s="1">
        <f>G3+1</f>
        <v>1</v>
      </c>
      <c r="H4" s="1">
        <f t="shared" ref="H4:H53" ca="1" si="0">1/$B$8</f>
        <v>0.89960214075970668</v>
      </c>
      <c r="I4" s="1">
        <f t="shared" ref="I4:I53" ca="1" si="1">H4+J3</f>
        <v>0.89960214075970668</v>
      </c>
      <c r="J4" s="1">
        <f t="shared" ref="J4:J53" ca="1" si="2">MAX(0,(H4+J3-K4))</f>
        <v>0</v>
      </c>
      <c r="K4" s="1">
        <f t="shared" ref="K4:K53" si="3">$B$5</f>
        <v>1</v>
      </c>
      <c r="L4" s="1">
        <f t="shared" ref="L4:L53" ca="1" si="4">CEILING(MIN(J3+I4,K4),1)</f>
        <v>1</v>
      </c>
      <c r="M4" s="1"/>
      <c r="N4" s="1"/>
      <c r="O4" s="1">
        <f t="shared" ref="O4:O53" ca="1" si="5">J4+MIN(J3+H4,L4)</f>
        <v>0.89960214075970668</v>
      </c>
      <c r="P4" s="1">
        <f t="shared" ref="P4:P53" ca="1" si="6">$B$4+(J4/L4)</f>
        <v>2</v>
      </c>
    </row>
    <row r="5" spans="1:16">
      <c r="A5" t="s">
        <v>16</v>
      </c>
      <c r="B5">
        <v>1</v>
      </c>
      <c r="C5" t="s">
        <v>17</v>
      </c>
      <c r="G5" s="1">
        <f t="shared" ref="G5:G53" si="7">G4+1</f>
        <v>2</v>
      </c>
      <c r="H5" s="1">
        <f t="shared" ca="1" si="0"/>
        <v>0.89960214075970668</v>
      </c>
      <c r="I5" s="1">
        <f t="shared" ca="1" si="1"/>
        <v>0.89960214075970668</v>
      </c>
      <c r="J5" s="1">
        <f t="shared" ca="1" si="2"/>
        <v>0</v>
      </c>
      <c r="K5" s="1">
        <f t="shared" si="3"/>
        <v>1</v>
      </c>
      <c r="L5" s="1">
        <f t="shared" ca="1" si="4"/>
        <v>1</v>
      </c>
      <c r="M5" s="1"/>
      <c r="N5" s="1"/>
      <c r="O5" s="1">
        <f t="shared" ca="1" si="5"/>
        <v>0.89960214075970668</v>
      </c>
      <c r="P5" s="1">
        <f t="shared" ca="1" si="6"/>
        <v>2</v>
      </c>
    </row>
    <row r="6" spans="1:16">
      <c r="A6" t="s">
        <v>18</v>
      </c>
      <c r="B6">
        <v>60</v>
      </c>
      <c r="C6" t="s">
        <v>19</v>
      </c>
      <c r="G6" s="1">
        <f t="shared" si="7"/>
        <v>3</v>
      </c>
      <c r="H6" s="1">
        <f t="shared" ca="1" si="0"/>
        <v>0.89960214075970668</v>
      </c>
      <c r="I6" s="1">
        <f t="shared" ca="1" si="1"/>
        <v>0.89960214075970668</v>
      </c>
      <c r="J6" s="1">
        <f t="shared" ca="1" si="2"/>
        <v>0</v>
      </c>
      <c r="K6" s="1">
        <f t="shared" si="3"/>
        <v>1</v>
      </c>
      <c r="L6" s="1">
        <f t="shared" ca="1" si="4"/>
        <v>1</v>
      </c>
      <c r="M6" s="1"/>
      <c r="N6" s="1"/>
      <c r="O6" s="1">
        <f t="shared" ca="1" si="5"/>
        <v>0.89960214075970668</v>
      </c>
      <c r="P6" s="1">
        <f t="shared" ca="1" si="6"/>
        <v>2</v>
      </c>
    </row>
    <row r="7" spans="1:16">
      <c r="B7" t="s">
        <v>20</v>
      </c>
      <c r="G7" s="1">
        <f t="shared" si="7"/>
        <v>4</v>
      </c>
      <c r="H7" s="1">
        <f t="shared" ca="1" si="0"/>
        <v>0.89960214075970668</v>
      </c>
      <c r="I7" s="1">
        <f t="shared" ca="1" si="1"/>
        <v>0.89960214075970668</v>
      </c>
      <c r="J7" s="1">
        <f t="shared" ca="1" si="2"/>
        <v>0</v>
      </c>
      <c r="K7" s="1">
        <f t="shared" si="3"/>
        <v>1</v>
      </c>
      <c r="L7" s="1">
        <f t="shared" ca="1" si="4"/>
        <v>1</v>
      </c>
      <c r="M7" s="1"/>
      <c r="N7" s="1"/>
      <c r="O7" s="1">
        <f t="shared" ca="1" si="5"/>
        <v>0.89960214075970668</v>
      </c>
      <c r="P7" s="1">
        <f t="shared" ca="1" si="6"/>
        <v>2</v>
      </c>
    </row>
    <row r="8" spans="1:16">
      <c r="A8" t="s">
        <v>21</v>
      </c>
      <c r="B8">
        <f ca="1">B3+(B3*RAND()-0.1)*0.1</f>
        <v>1.1116025125901858</v>
      </c>
      <c r="C8" t="s">
        <v>22</v>
      </c>
      <c r="G8" s="1">
        <f t="shared" si="7"/>
        <v>5</v>
      </c>
      <c r="H8" s="1">
        <f t="shared" ca="1" si="0"/>
        <v>0.89960214075970668</v>
      </c>
      <c r="I8" s="1">
        <f t="shared" ca="1" si="1"/>
        <v>0.89960214075970668</v>
      </c>
      <c r="J8" s="1">
        <f t="shared" ca="1" si="2"/>
        <v>0</v>
      </c>
      <c r="K8" s="1">
        <f t="shared" si="3"/>
        <v>1</v>
      </c>
      <c r="L8" s="1">
        <f t="shared" ca="1" si="4"/>
        <v>1</v>
      </c>
      <c r="M8" s="1"/>
      <c r="N8" s="1"/>
      <c r="O8" s="1">
        <f t="shared" ca="1" si="5"/>
        <v>0.89960214075970668</v>
      </c>
      <c r="P8" s="1">
        <f t="shared" ca="1" si="6"/>
        <v>2</v>
      </c>
    </row>
    <row r="9" spans="1:16">
      <c r="A9" t="s">
        <v>23</v>
      </c>
      <c r="B9" s="1">
        <f ca="1">AVERAGE(J3:J53)</f>
        <v>0</v>
      </c>
      <c r="C9" t="s">
        <v>24</v>
      </c>
      <c r="G9" s="1">
        <f t="shared" si="7"/>
        <v>6</v>
      </c>
      <c r="H9" s="1">
        <f t="shared" ca="1" si="0"/>
        <v>0.89960214075970668</v>
      </c>
      <c r="I9" s="1">
        <f t="shared" ca="1" si="1"/>
        <v>0.89960214075970668</v>
      </c>
      <c r="J9" s="1">
        <f t="shared" ca="1" si="2"/>
        <v>0</v>
      </c>
      <c r="K9" s="1">
        <f t="shared" si="3"/>
        <v>1</v>
      </c>
      <c r="L9" s="1">
        <f t="shared" ca="1" si="4"/>
        <v>1</v>
      </c>
      <c r="M9" s="1"/>
      <c r="N9" s="1"/>
      <c r="O9" s="1">
        <f t="shared" ca="1" si="5"/>
        <v>0.89960214075970668</v>
      </c>
      <c r="P9" s="1">
        <f t="shared" ca="1" si="6"/>
        <v>2</v>
      </c>
    </row>
    <row r="10" spans="1:16">
      <c r="A10" t="s">
        <v>25</v>
      </c>
      <c r="B10" s="1">
        <f ca="1">AVERAGE(P3:P53)</f>
        <v>2</v>
      </c>
      <c r="C10" t="s">
        <v>15</v>
      </c>
      <c r="G10" s="1">
        <f t="shared" si="7"/>
        <v>7</v>
      </c>
      <c r="H10" s="1">
        <f t="shared" ca="1" si="0"/>
        <v>0.89960214075970668</v>
      </c>
      <c r="I10" s="1">
        <f t="shared" ca="1" si="1"/>
        <v>0.89960214075970668</v>
      </c>
      <c r="J10" s="1">
        <f t="shared" ca="1" si="2"/>
        <v>0</v>
      </c>
      <c r="K10" s="1">
        <f t="shared" si="3"/>
        <v>1</v>
      </c>
      <c r="L10" s="1">
        <f t="shared" ca="1" si="4"/>
        <v>1</v>
      </c>
      <c r="M10" s="1"/>
      <c r="N10" s="1"/>
      <c r="O10" s="1">
        <f t="shared" ca="1" si="5"/>
        <v>0.89960214075970668</v>
      </c>
      <c r="P10" s="1">
        <f t="shared" ca="1" si="6"/>
        <v>2</v>
      </c>
    </row>
    <row r="11" spans="1:16">
      <c r="A11" t="s">
        <v>26</v>
      </c>
      <c r="B11" s="2">
        <f ca="1">(AVERAGE(L3:L53)/B5)</f>
        <v>1</v>
      </c>
      <c r="G11" s="1">
        <f t="shared" si="7"/>
        <v>8</v>
      </c>
      <c r="H11" s="1">
        <f t="shared" ca="1" si="0"/>
        <v>0.89960214075970668</v>
      </c>
      <c r="I11" s="1">
        <f t="shared" ca="1" si="1"/>
        <v>0.89960214075970668</v>
      </c>
      <c r="J11" s="1">
        <f t="shared" ca="1" si="2"/>
        <v>0</v>
      </c>
      <c r="K11" s="1">
        <f t="shared" si="3"/>
        <v>1</v>
      </c>
      <c r="L11" s="1">
        <f t="shared" ca="1" si="4"/>
        <v>1</v>
      </c>
      <c r="M11" s="1"/>
      <c r="N11" s="1"/>
      <c r="O11" s="1">
        <f t="shared" ca="1" si="5"/>
        <v>0.89960214075970668</v>
      </c>
      <c r="P11" s="1">
        <f t="shared" ca="1" si="6"/>
        <v>2</v>
      </c>
    </row>
    <row r="12" spans="1:16">
      <c r="A12" t="s">
        <v>27</v>
      </c>
      <c r="B12" s="1">
        <f ca="1">AVERAGE(O3:O53)</f>
        <v>0.89960214075970613</v>
      </c>
      <c r="C12" t="s">
        <v>24</v>
      </c>
      <c r="G12" s="1">
        <f t="shared" si="7"/>
        <v>9</v>
      </c>
      <c r="H12" s="1">
        <f t="shared" ca="1" si="0"/>
        <v>0.89960214075970668</v>
      </c>
      <c r="I12" s="1">
        <f t="shared" ca="1" si="1"/>
        <v>0.89960214075970668</v>
      </c>
      <c r="J12" s="1">
        <f t="shared" ca="1" si="2"/>
        <v>0</v>
      </c>
      <c r="K12" s="1">
        <f t="shared" si="3"/>
        <v>1</v>
      </c>
      <c r="L12" s="1">
        <f t="shared" ca="1" si="4"/>
        <v>1</v>
      </c>
      <c r="M12" s="1"/>
      <c r="N12" s="1"/>
      <c r="O12" s="1">
        <f t="shared" ca="1" si="5"/>
        <v>0.89960214075970668</v>
      </c>
      <c r="P12" s="1">
        <f t="shared" ca="1" si="6"/>
        <v>2</v>
      </c>
    </row>
    <row r="13" spans="1:16">
      <c r="G13" s="1">
        <f t="shared" si="7"/>
        <v>10</v>
      </c>
      <c r="H13" s="1">
        <f t="shared" ca="1" si="0"/>
        <v>0.89960214075970668</v>
      </c>
      <c r="I13" s="1">
        <f t="shared" ca="1" si="1"/>
        <v>0.89960214075970668</v>
      </c>
      <c r="J13" s="1">
        <f t="shared" ca="1" si="2"/>
        <v>0</v>
      </c>
      <c r="K13" s="1">
        <f t="shared" si="3"/>
        <v>1</v>
      </c>
      <c r="L13" s="1">
        <f t="shared" ca="1" si="4"/>
        <v>1</v>
      </c>
      <c r="M13" s="1"/>
      <c r="N13" s="1"/>
      <c r="O13" s="1">
        <f t="shared" ca="1" si="5"/>
        <v>0.89960214075970668</v>
      </c>
      <c r="P13" s="1">
        <f t="shared" ca="1" si="6"/>
        <v>2</v>
      </c>
    </row>
    <row r="14" spans="1:16">
      <c r="A14" t="s">
        <v>28</v>
      </c>
      <c r="G14" s="1">
        <f t="shared" si="7"/>
        <v>11</v>
      </c>
      <c r="H14" s="1">
        <f t="shared" ca="1" si="0"/>
        <v>0.89960214075970668</v>
      </c>
      <c r="I14" s="1">
        <f t="shared" ca="1" si="1"/>
        <v>0.89960214075970668</v>
      </c>
      <c r="J14" s="1">
        <f t="shared" ca="1" si="2"/>
        <v>0</v>
      </c>
      <c r="K14" s="1">
        <f t="shared" si="3"/>
        <v>1</v>
      </c>
      <c r="L14" s="1">
        <f t="shared" ca="1" si="4"/>
        <v>1</v>
      </c>
      <c r="M14" s="1"/>
      <c r="N14" s="1"/>
      <c r="O14" s="1">
        <f t="shared" ca="1" si="5"/>
        <v>0.89960214075970668</v>
      </c>
      <c r="P14" s="1">
        <f t="shared" ca="1" si="6"/>
        <v>2</v>
      </c>
    </row>
    <row r="15" spans="1:16">
      <c r="A15" t="s">
        <v>29</v>
      </c>
      <c r="B15">
        <v>55</v>
      </c>
      <c r="C15" t="s">
        <v>24</v>
      </c>
      <c r="G15" s="1">
        <f t="shared" si="7"/>
        <v>12</v>
      </c>
      <c r="H15" s="1">
        <f t="shared" ca="1" si="0"/>
        <v>0.89960214075970668</v>
      </c>
      <c r="I15" s="1">
        <f t="shared" ca="1" si="1"/>
        <v>0.89960214075970668</v>
      </c>
      <c r="J15" s="1">
        <f t="shared" ca="1" si="2"/>
        <v>0</v>
      </c>
      <c r="K15" s="1">
        <f t="shared" si="3"/>
        <v>1</v>
      </c>
      <c r="L15" s="1">
        <f t="shared" ca="1" si="4"/>
        <v>1</v>
      </c>
      <c r="M15" s="1"/>
      <c r="N15" s="1"/>
      <c r="O15" s="1">
        <f t="shared" ca="1" si="5"/>
        <v>0.89960214075970668</v>
      </c>
      <c r="P15" s="1">
        <f t="shared" ca="1" si="6"/>
        <v>2</v>
      </c>
    </row>
    <row r="16" spans="1:16">
      <c r="A16" t="s">
        <v>30</v>
      </c>
      <c r="B16">
        <f>B15*$B$4</f>
        <v>110</v>
      </c>
      <c r="C16" t="s">
        <v>15</v>
      </c>
      <c r="G16" s="1">
        <f t="shared" si="7"/>
        <v>13</v>
      </c>
      <c r="H16" s="1">
        <f t="shared" ca="1" si="0"/>
        <v>0.89960214075970668</v>
      </c>
      <c r="I16" s="1">
        <f t="shared" ca="1" si="1"/>
        <v>0.89960214075970668</v>
      </c>
      <c r="J16" s="1">
        <f t="shared" ca="1" si="2"/>
        <v>0</v>
      </c>
      <c r="K16" s="1">
        <f t="shared" si="3"/>
        <v>1</v>
      </c>
      <c r="L16" s="1">
        <f t="shared" ca="1" si="4"/>
        <v>1</v>
      </c>
      <c r="M16" s="1"/>
      <c r="N16" s="1"/>
      <c r="O16" s="1">
        <f t="shared" ca="1" si="5"/>
        <v>0.89960214075970668</v>
      </c>
      <c r="P16" s="1">
        <f t="shared" ca="1" si="6"/>
        <v>2</v>
      </c>
    </row>
    <row r="17" spans="1:16">
      <c r="A17" t="s">
        <v>31</v>
      </c>
      <c r="B17">
        <f>CEILING(B16/$B$6,1)</f>
        <v>2</v>
      </c>
      <c r="C17" t="s">
        <v>32</v>
      </c>
      <c r="D17" t="s">
        <v>33</v>
      </c>
      <c r="G17" s="1">
        <f t="shared" si="7"/>
        <v>14</v>
      </c>
      <c r="H17" s="1">
        <f t="shared" ca="1" si="0"/>
        <v>0.89960214075970668</v>
      </c>
      <c r="I17" s="1">
        <f t="shared" ca="1" si="1"/>
        <v>0.89960214075970668</v>
      </c>
      <c r="J17" s="1">
        <f t="shared" ca="1" si="2"/>
        <v>0</v>
      </c>
      <c r="K17" s="1">
        <f t="shared" si="3"/>
        <v>1</v>
      </c>
      <c r="L17" s="1">
        <f t="shared" ca="1" si="4"/>
        <v>1</v>
      </c>
      <c r="M17" s="1"/>
      <c r="N17" s="1"/>
      <c r="O17" s="1">
        <f t="shared" ca="1" si="5"/>
        <v>0.89960214075970668</v>
      </c>
      <c r="P17" s="1">
        <f t="shared" ca="1" si="6"/>
        <v>2</v>
      </c>
    </row>
    <row r="18" spans="1:16">
      <c r="A18" t="s">
        <v>34</v>
      </c>
      <c r="B18" s="2">
        <f>($B$4*B15)/$B$6</f>
        <v>1.8333333333333333</v>
      </c>
      <c r="D18" s="2">
        <f>MIN(1,B18)</f>
        <v>1</v>
      </c>
      <c r="G18" s="1">
        <f t="shared" si="7"/>
        <v>15</v>
      </c>
      <c r="H18" s="1">
        <f t="shared" ca="1" si="0"/>
        <v>0.89960214075970668</v>
      </c>
      <c r="I18" s="1">
        <f t="shared" ca="1" si="1"/>
        <v>0.89960214075970668</v>
      </c>
      <c r="J18" s="1">
        <f t="shared" ca="1" si="2"/>
        <v>0</v>
      </c>
      <c r="K18" s="1">
        <f t="shared" si="3"/>
        <v>1</v>
      </c>
      <c r="L18" s="1">
        <f t="shared" ca="1" si="4"/>
        <v>1</v>
      </c>
      <c r="M18" s="1"/>
      <c r="N18" s="1"/>
      <c r="O18" s="1">
        <f t="shared" ca="1" si="5"/>
        <v>0.89960214075970668</v>
      </c>
      <c r="P18" s="1">
        <f t="shared" ca="1" si="6"/>
        <v>2</v>
      </c>
    </row>
    <row r="19" spans="1:16">
      <c r="A19" t="s">
        <v>35</v>
      </c>
      <c r="B19" s="2">
        <f>(($B$4*B15)/2)/$B$6</f>
        <v>0.91666666666666663</v>
      </c>
      <c r="D19" s="2">
        <f t="shared" ref="D19:D20" si="8">MIN(1,B19)</f>
        <v>0.91666666666666663</v>
      </c>
      <c r="G19" s="1">
        <f t="shared" si="7"/>
        <v>16</v>
      </c>
      <c r="H19" s="1">
        <f t="shared" ca="1" si="0"/>
        <v>0.89960214075970668</v>
      </c>
      <c r="I19" s="1">
        <f t="shared" ca="1" si="1"/>
        <v>0.89960214075970668</v>
      </c>
      <c r="J19" s="1">
        <f t="shared" ca="1" si="2"/>
        <v>0</v>
      </c>
      <c r="K19" s="1">
        <f t="shared" si="3"/>
        <v>1</v>
      </c>
      <c r="L19" s="1">
        <f t="shared" ca="1" si="4"/>
        <v>1</v>
      </c>
      <c r="M19" s="1"/>
      <c r="N19" s="1"/>
      <c r="O19" s="1">
        <f t="shared" ca="1" si="5"/>
        <v>0.89960214075970668</v>
      </c>
      <c r="P19" s="1">
        <f t="shared" ca="1" si="6"/>
        <v>2</v>
      </c>
    </row>
    <row r="20" spans="1:16">
      <c r="A20" t="s">
        <v>36</v>
      </c>
      <c r="B20" s="2">
        <f>(($B$4*B15)/3)/$B$6</f>
        <v>0.61111111111111105</v>
      </c>
      <c r="D20" s="2">
        <f t="shared" si="8"/>
        <v>0.61111111111111105</v>
      </c>
      <c r="G20" s="1">
        <f t="shared" si="7"/>
        <v>17</v>
      </c>
      <c r="H20" s="1">
        <f t="shared" ca="1" si="0"/>
        <v>0.89960214075970668</v>
      </c>
      <c r="I20" s="1">
        <f t="shared" ca="1" si="1"/>
        <v>0.89960214075970668</v>
      </c>
      <c r="J20" s="1">
        <f t="shared" ca="1" si="2"/>
        <v>0</v>
      </c>
      <c r="K20" s="1">
        <f t="shared" si="3"/>
        <v>1</v>
      </c>
      <c r="L20" s="1">
        <f t="shared" ca="1" si="4"/>
        <v>1</v>
      </c>
      <c r="M20" s="1"/>
      <c r="N20" s="1"/>
      <c r="O20" s="1">
        <f t="shared" ca="1" si="5"/>
        <v>0.89960214075970668</v>
      </c>
      <c r="P20" s="1">
        <f t="shared" ca="1" si="6"/>
        <v>2</v>
      </c>
    </row>
    <row r="21" spans="1:16">
      <c r="G21" s="1">
        <f t="shared" si="7"/>
        <v>18</v>
      </c>
      <c r="H21" s="1">
        <f t="shared" ca="1" si="0"/>
        <v>0.89960214075970668</v>
      </c>
      <c r="I21" s="1">
        <f t="shared" ca="1" si="1"/>
        <v>0.89960214075970668</v>
      </c>
      <c r="J21" s="1">
        <f t="shared" ca="1" si="2"/>
        <v>0</v>
      </c>
      <c r="K21" s="1">
        <f t="shared" si="3"/>
        <v>1</v>
      </c>
      <c r="L21" s="1">
        <f t="shared" ca="1" si="4"/>
        <v>1</v>
      </c>
      <c r="M21" s="1"/>
      <c r="N21" s="1"/>
      <c r="O21" s="1">
        <f t="shared" ca="1" si="5"/>
        <v>0.89960214075970668</v>
      </c>
      <c r="P21" s="1">
        <f t="shared" ca="1" si="6"/>
        <v>2</v>
      </c>
    </row>
    <row r="22" spans="1:16">
      <c r="A22" t="s">
        <v>37</v>
      </c>
      <c r="G22" s="1">
        <f t="shared" si="7"/>
        <v>19</v>
      </c>
      <c r="H22" s="1">
        <f t="shared" ca="1" si="0"/>
        <v>0.89960214075970668</v>
      </c>
      <c r="I22" s="1">
        <f t="shared" ca="1" si="1"/>
        <v>0.89960214075970668</v>
      </c>
      <c r="J22" s="1">
        <f t="shared" ca="1" si="2"/>
        <v>0</v>
      </c>
      <c r="K22" s="1">
        <f t="shared" si="3"/>
        <v>1</v>
      </c>
      <c r="L22" s="1">
        <f t="shared" ca="1" si="4"/>
        <v>1</v>
      </c>
      <c r="M22" s="1"/>
      <c r="N22" s="1"/>
      <c r="O22" s="1">
        <f t="shared" ca="1" si="5"/>
        <v>0.89960214075970668</v>
      </c>
      <c r="P22" s="1">
        <f t="shared" ca="1" si="6"/>
        <v>2</v>
      </c>
    </row>
    <row r="23" spans="1:16">
      <c r="A23" t="s">
        <v>29</v>
      </c>
      <c r="B23">
        <v>30</v>
      </c>
      <c r="C23" t="s">
        <v>24</v>
      </c>
      <c r="D23" t="s">
        <v>38</v>
      </c>
      <c r="G23" s="1">
        <f t="shared" si="7"/>
        <v>20</v>
      </c>
      <c r="H23" s="1">
        <f t="shared" ca="1" si="0"/>
        <v>0.89960214075970668</v>
      </c>
      <c r="I23" s="1">
        <f t="shared" ca="1" si="1"/>
        <v>0.89960214075970668</v>
      </c>
      <c r="J23" s="1">
        <f t="shared" ca="1" si="2"/>
        <v>0</v>
      </c>
      <c r="K23" s="1">
        <f t="shared" si="3"/>
        <v>1</v>
      </c>
      <c r="L23" s="1">
        <f t="shared" ca="1" si="4"/>
        <v>1</v>
      </c>
      <c r="M23" s="1"/>
      <c r="N23" s="1"/>
      <c r="O23" s="1">
        <f t="shared" ca="1" si="5"/>
        <v>0.89960214075970668</v>
      </c>
      <c r="P23" s="1">
        <f t="shared" ca="1" si="6"/>
        <v>2</v>
      </c>
    </row>
    <row r="24" spans="1:16">
      <c r="A24" t="s">
        <v>30</v>
      </c>
      <c r="B24">
        <f>B23*$B$4</f>
        <v>60</v>
      </c>
      <c r="C24" t="s">
        <v>15</v>
      </c>
      <c r="G24" s="1">
        <f t="shared" si="7"/>
        <v>21</v>
      </c>
      <c r="H24" s="1">
        <f t="shared" ca="1" si="0"/>
        <v>0.89960214075970668</v>
      </c>
      <c r="I24" s="1">
        <f t="shared" ca="1" si="1"/>
        <v>0.89960214075970668</v>
      </c>
      <c r="J24" s="1">
        <f t="shared" ca="1" si="2"/>
        <v>0</v>
      </c>
      <c r="K24" s="1">
        <f t="shared" si="3"/>
        <v>1</v>
      </c>
      <c r="L24" s="1">
        <f t="shared" ca="1" si="4"/>
        <v>1</v>
      </c>
      <c r="M24" s="1"/>
      <c r="N24" s="1"/>
      <c r="O24" s="1">
        <f t="shared" ca="1" si="5"/>
        <v>0.89960214075970668</v>
      </c>
      <c r="P24" s="1">
        <f t="shared" ca="1" si="6"/>
        <v>2</v>
      </c>
    </row>
    <row r="25" spans="1:16">
      <c r="A25" t="s">
        <v>31</v>
      </c>
      <c r="B25">
        <f>CEILING(B24/$B$6,1)</f>
        <v>1</v>
      </c>
      <c r="C25" t="s">
        <v>32</v>
      </c>
      <c r="D25" t="s">
        <v>33</v>
      </c>
      <c r="G25" s="1">
        <f t="shared" si="7"/>
        <v>22</v>
      </c>
      <c r="H25" s="1">
        <f t="shared" ca="1" si="0"/>
        <v>0.89960214075970668</v>
      </c>
      <c r="I25" s="1">
        <f t="shared" ca="1" si="1"/>
        <v>0.89960214075970668</v>
      </c>
      <c r="J25" s="1">
        <f t="shared" ca="1" si="2"/>
        <v>0</v>
      </c>
      <c r="K25" s="1">
        <f t="shared" si="3"/>
        <v>1</v>
      </c>
      <c r="L25" s="1">
        <f t="shared" ca="1" si="4"/>
        <v>1</v>
      </c>
      <c r="M25" s="1"/>
      <c r="N25" s="1"/>
      <c r="O25" s="1">
        <f t="shared" ca="1" si="5"/>
        <v>0.89960214075970668</v>
      </c>
      <c r="P25" s="1">
        <f t="shared" ca="1" si="6"/>
        <v>2</v>
      </c>
    </row>
    <row r="26" spans="1:16">
      <c r="A26" t="s">
        <v>34</v>
      </c>
      <c r="B26" s="2">
        <f>($B$4*B23)/$B$6</f>
        <v>1</v>
      </c>
      <c r="D26" s="2">
        <f>MIN(1,B26)</f>
        <v>1</v>
      </c>
      <c r="G26" s="1">
        <f t="shared" si="7"/>
        <v>23</v>
      </c>
      <c r="H26" s="1">
        <f t="shared" ca="1" si="0"/>
        <v>0.89960214075970668</v>
      </c>
      <c r="I26" s="1">
        <f t="shared" ca="1" si="1"/>
        <v>0.89960214075970668</v>
      </c>
      <c r="J26" s="1">
        <f t="shared" ca="1" si="2"/>
        <v>0</v>
      </c>
      <c r="K26" s="1">
        <f t="shared" si="3"/>
        <v>1</v>
      </c>
      <c r="L26" s="1">
        <f t="shared" ca="1" si="4"/>
        <v>1</v>
      </c>
      <c r="M26" s="1"/>
      <c r="N26" s="1"/>
      <c r="O26" s="1">
        <f t="shared" ca="1" si="5"/>
        <v>0.89960214075970668</v>
      </c>
      <c r="P26" s="1">
        <f t="shared" ca="1" si="6"/>
        <v>2</v>
      </c>
    </row>
    <row r="27" spans="1:16">
      <c r="A27" t="s">
        <v>35</v>
      </c>
      <c r="B27" s="2">
        <f>(($B$4*B23)/2)/$B$6</f>
        <v>0.5</v>
      </c>
      <c r="D27" s="2">
        <f t="shared" ref="D27:D28" si="9">MIN(1,B27)</f>
        <v>0.5</v>
      </c>
      <c r="G27" s="1">
        <f t="shared" si="7"/>
        <v>24</v>
      </c>
      <c r="H27" s="1">
        <f t="shared" ca="1" si="0"/>
        <v>0.89960214075970668</v>
      </c>
      <c r="I27" s="1">
        <f t="shared" ca="1" si="1"/>
        <v>0.89960214075970668</v>
      </c>
      <c r="J27" s="1">
        <f t="shared" ca="1" si="2"/>
        <v>0</v>
      </c>
      <c r="K27" s="1">
        <f t="shared" si="3"/>
        <v>1</v>
      </c>
      <c r="L27" s="1">
        <f t="shared" ca="1" si="4"/>
        <v>1</v>
      </c>
      <c r="M27" s="1"/>
      <c r="N27" s="1"/>
      <c r="O27" s="1">
        <f t="shared" ca="1" si="5"/>
        <v>0.89960214075970668</v>
      </c>
      <c r="P27" s="1">
        <f t="shared" ca="1" si="6"/>
        <v>2</v>
      </c>
    </row>
    <row r="28" spans="1:16">
      <c r="A28" t="s">
        <v>36</v>
      </c>
      <c r="B28" s="2">
        <f>(($B$4*B23)/3)/$B$6</f>
        <v>0.33333333333333331</v>
      </c>
      <c r="D28" s="2">
        <f t="shared" si="9"/>
        <v>0.33333333333333331</v>
      </c>
      <c r="G28" s="1">
        <f t="shared" si="7"/>
        <v>25</v>
      </c>
      <c r="H28" s="1">
        <f t="shared" ca="1" si="0"/>
        <v>0.89960214075970668</v>
      </c>
      <c r="I28" s="1">
        <f t="shared" ca="1" si="1"/>
        <v>0.89960214075970668</v>
      </c>
      <c r="J28" s="1">
        <f t="shared" ca="1" si="2"/>
        <v>0</v>
      </c>
      <c r="K28" s="1">
        <f t="shared" si="3"/>
        <v>1</v>
      </c>
      <c r="L28" s="1">
        <f t="shared" ca="1" si="4"/>
        <v>1</v>
      </c>
      <c r="M28" s="1"/>
      <c r="N28" s="1"/>
      <c r="O28" s="1">
        <f t="shared" ca="1" si="5"/>
        <v>0.89960214075970668</v>
      </c>
      <c r="P28" s="1">
        <f t="shared" ca="1" si="6"/>
        <v>2</v>
      </c>
    </row>
    <row r="29" spans="1:16">
      <c r="G29" s="1">
        <f t="shared" si="7"/>
        <v>26</v>
      </c>
      <c r="H29" s="1">
        <f t="shared" ca="1" si="0"/>
        <v>0.89960214075970668</v>
      </c>
      <c r="I29" s="1">
        <f t="shared" ca="1" si="1"/>
        <v>0.89960214075970668</v>
      </c>
      <c r="J29" s="1">
        <f t="shared" ca="1" si="2"/>
        <v>0</v>
      </c>
      <c r="K29" s="1">
        <f t="shared" si="3"/>
        <v>1</v>
      </c>
      <c r="L29" s="1">
        <f t="shared" ca="1" si="4"/>
        <v>1</v>
      </c>
      <c r="M29" s="1"/>
      <c r="N29" s="1"/>
      <c r="O29" s="1">
        <f t="shared" ca="1" si="5"/>
        <v>0.89960214075970668</v>
      </c>
      <c r="P29" s="1">
        <f t="shared" ca="1" si="6"/>
        <v>2</v>
      </c>
    </row>
    <row r="30" spans="1:16">
      <c r="A30" t="s">
        <v>29</v>
      </c>
      <c r="B30">
        <v>85</v>
      </c>
      <c r="C30" t="s">
        <v>24</v>
      </c>
      <c r="D30" t="s">
        <v>39</v>
      </c>
      <c r="G30" s="1">
        <f t="shared" si="7"/>
        <v>27</v>
      </c>
      <c r="H30" s="1">
        <f t="shared" ca="1" si="0"/>
        <v>0.89960214075970668</v>
      </c>
      <c r="I30" s="1">
        <f t="shared" ca="1" si="1"/>
        <v>0.89960214075970668</v>
      </c>
      <c r="J30" s="1">
        <f t="shared" ca="1" si="2"/>
        <v>0</v>
      </c>
      <c r="K30" s="1">
        <f t="shared" si="3"/>
        <v>1</v>
      </c>
      <c r="L30" s="1">
        <f t="shared" ca="1" si="4"/>
        <v>1</v>
      </c>
      <c r="M30" s="1"/>
      <c r="N30" s="1"/>
      <c r="O30" s="1">
        <f t="shared" ca="1" si="5"/>
        <v>0.89960214075970668</v>
      </c>
      <c r="P30" s="1">
        <f t="shared" ca="1" si="6"/>
        <v>2</v>
      </c>
    </row>
    <row r="31" spans="1:16">
      <c r="A31" t="s">
        <v>30</v>
      </c>
      <c r="B31">
        <f>B30*$B$4</f>
        <v>170</v>
      </c>
      <c r="C31" t="s">
        <v>15</v>
      </c>
      <c r="G31" s="1">
        <f t="shared" si="7"/>
        <v>28</v>
      </c>
      <c r="H31" s="1">
        <f t="shared" ca="1" si="0"/>
        <v>0.89960214075970668</v>
      </c>
      <c r="I31" s="1">
        <f t="shared" ca="1" si="1"/>
        <v>0.89960214075970668</v>
      </c>
      <c r="J31" s="1">
        <f t="shared" ca="1" si="2"/>
        <v>0</v>
      </c>
      <c r="K31" s="1">
        <f t="shared" si="3"/>
        <v>1</v>
      </c>
      <c r="L31" s="1">
        <f t="shared" ca="1" si="4"/>
        <v>1</v>
      </c>
      <c r="M31" s="1"/>
      <c r="N31" s="1"/>
      <c r="O31" s="1">
        <f t="shared" ca="1" si="5"/>
        <v>0.89960214075970668</v>
      </c>
      <c r="P31" s="1">
        <f t="shared" ca="1" si="6"/>
        <v>2</v>
      </c>
    </row>
    <row r="32" spans="1:16">
      <c r="A32" t="s">
        <v>31</v>
      </c>
      <c r="B32">
        <f>CEILING(B31/$B$6,1)</f>
        <v>3</v>
      </c>
      <c r="C32" t="s">
        <v>32</v>
      </c>
      <c r="D32" t="s">
        <v>33</v>
      </c>
      <c r="G32" s="1">
        <f t="shared" si="7"/>
        <v>29</v>
      </c>
      <c r="H32" s="1">
        <f t="shared" ca="1" si="0"/>
        <v>0.89960214075970668</v>
      </c>
      <c r="I32" s="1">
        <f t="shared" ca="1" si="1"/>
        <v>0.89960214075970668</v>
      </c>
      <c r="J32" s="1">
        <f t="shared" ca="1" si="2"/>
        <v>0</v>
      </c>
      <c r="K32" s="1">
        <f t="shared" si="3"/>
        <v>1</v>
      </c>
      <c r="L32" s="1">
        <f t="shared" ca="1" si="4"/>
        <v>1</v>
      </c>
      <c r="M32" s="1"/>
      <c r="N32" s="1"/>
      <c r="O32" s="1">
        <f t="shared" ca="1" si="5"/>
        <v>0.89960214075970668</v>
      </c>
      <c r="P32" s="1">
        <f t="shared" ca="1" si="6"/>
        <v>2</v>
      </c>
    </row>
    <row r="33" spans="1:16">
      <c r="A33" t="s">
        <v>34</v>
      </c>
      <c r="B33" s="2">
        <f>($B$4*B30)/$B$6</f>
        <v>2.8333333333333335</v>
      </c>
      <c r="D33" s="2">
        <f>MIN(1,B33)</f>
        <v>1</v>
      </c>
      <c r="G33" s="1">
        <f t="shared" si="7"/>
        <v>30</v>
      </c>
      <c r="H33" s="1">
        <f t="shared" ca="1" si="0"/>
        <v>0.89960214075970668</v>
      </c>
      <c r="I33" s="1">
        <f t="shared" ca="1" si="1"/>
        <v>0.89960214075970668</v>
      </c>
      <c r="J33" s="1">
        <f t="shared" ca="1" si="2"/>
        <v>0</v>
      </c>
      <c r="K33" s="1">
        <f t="shared" si="3"/>
        <v>1</v>
      </c>
      <c r="L33" s="1">
        <f t="shared" ca="1" si="4"/>
        <v>1</v>
      </c>
      <c r="M33" s="1"/>
      <c r="N33" s="1"/>
      <c r="O33" s="1">
        <f t="shared" ca="1" si="5"/>
        <v>0.89960214075970668</v>
      </c>
      <c r="P33" s="1">
        <f t="shared" ca="1" si="6"/>
        <v>2</v>
      </c>
    </row>
    <row r="34" spans="1:16">
      <c r="A34" t="s">
        <v>35</v>
      </c>
      <c r="B34" s="2">
        <f>(($B$4*B30)/2)/$B$6</f>
        <v>1.4166666666666667</v>
      </c>
      <c r="D34" s="2">
        <f t="shared" ref="D34:D35" si="10">MIN(1,B34)</f>
        <v>1</v>
      </c>
      <c r="G34" s="1">
        <f t="shared" si="7"/>
        <v>31</v>
      </c>
      <c r="H34" s="1">
        <f t="shared" ca="1" si="0"/>
        <v>0.89960214075970668</v>
      </c>
      <c r="I34" s="1">
        <f t="shared" ca="1" si="1"/>
        <v>0.89960214075970668</v>
      </c>
      <c r="J34" s="1">
        <f t="shared" ca="1" si="2"/>
        <v>0</v>
      </c>
      <c r="K34" s="1">
        <f t="shared" si="3"/>
        <v>1</v>
      </c>
      <c r="L34" s="1">
        <f t="shared" ca="1" si="4"/>
        <v>1</v>
      </c>
      <c r="M34" s="1"/>
      <c r="N34" s="1"/>
      <c r="O34" s="1">
        <f t="shared" ca="1" si="5"/>
        <v>0.89960214075970668</v>
      </c>
      <c r="P34" s="1">
        <f t="shared" ca="1" si="6"/>
        <v>2</v>
      </c>
    </row>
    <row r="35" spans="1:16">
      <c r="A35" t="s">
        <v>36</v>
      </c>
      <c r="B35" s="2">
        <f>(($B$4*B30)/3)/$B$6</f>
        <v>0.94444444444444442</v>
      </c>
      <c r="D35" s="2">
        <f t="shared" si="10"/>
        <v>0.94444444444444442</v>
      </c>
      <c r="G35" s="1">
        <f t="shared" si="7"/>
        <v>32</v>
      </c>
      <c r="H35" s="1">
        <f t="shared" ca="1" si="0"/>
        <v>0.89960214075970668</v>
      </c>
      <c r="I35" s="1">
        <f t="shared" ca="1" si="1"/>
        <v>0.89960214075970668</v>
      </c>
      <c r="J35" s="1">
        <f t="shared" ca="1" si="2"/>
        <v>0</v>
      </c>
      <c r="K35" s="1">
        <f t="shared" si="3"/>
        <v>1</v>
      </c>
      <c r="L35" s="1">
        <f t="shared" ca="1" si="4"/>
        <v>1</v>
      </c>
      <c r="M35" s="1"/>
      <c r="N35" s="1"/>
      <c r="O35" s="1">
        <f t="shared" ca="1" si="5"/>
        <v>0.89960214075970668</v>
      </c>
      <c r="P35" s="1">
        <f t="shared" ca="1" si="6"/>
        <v>2</v>
      </c>
    </row>
    <row r="36" spans="1:16">
      <c r="G36" s="1">
        <f t="shared" si="7"/>
        <v>33</v>
      </c>
      <c r="H36" s="1">
        <f t="shared" ca="1" si="0"/>
        <v>0.89960214075970668</v>
      </c>
      <c r="I36" s="1">
        <f t="shared" ca="1" si="1"/>
        <v>0.89960214075970668</v>
      </c>
      <c r="J36" s="1">
        <f t="shared" ca="1" si="2"/>
        <v>0</v>
      </c>
      <c r="K36" s="1">
        <f t="shared" si="3"/>
        <v>1</v>
      </c>
      <c r="L36" s="1">
        <f t="shared" ca="1" si="4"/>
        <v>1</v>
      </c>
      <c r="M36" s="1"/>
      <c r="N36" s="1"/>
      <c r="O36" s="1">
        <f t="shared" ca="1" si="5"/>
        <v>0.89960214075970668</v>
      </c>
      <c r="P36" s="1">
        <f t="shared" ca="1" si="6"/>
        <v>2</v>
      </c>
    </row>
    <row r="37" spans="1:16">
      <c r="G37" s="1">
        <f t="shared" si="7"/>
        <v>34</v>
      </c>
      <c r="H37" s="1">
        <f t="shared" ca="1" si="0"/>
        <v>0.89960214075970668</v>
      </c>
      <c r="I37" s="1">
        <f t="shared" ca="1" si="1"/>
        <v>0.89960214075970668</v>
      </c>
      <c r="J37" s="1">
        <f t="shared" ca="1" si="2"/>
        <v>0</v>
      </c>
      <c r="K37" s="1">
        <f t="shared" si="3"/>
        <v>1</v>
      </c>
      <c r="L37" s="1">
        <f t="shared" ca="1" si="4"/>
        <v>1</v>
      </c>
      <c r="M37" s="1"/>
      <c r="N37" s="1"/>
      <c r="O37" s="1">
        <f t="shared" ca="1" si="5"/>
        <v>0.89960214075970668</v>
      </c>
      <c r="P37" s="1">
        <f t="shared" ca="1" si="6"/>
        <v>2</v>
      </c>
    </row>
    <row r="38" spans="1:16">
      <c r="G38" s="1">
        <f t="shared" si="7"/>
        <v>35</v>
      </c>
      <c r="H38" s="1">
        <f t="shared" ca="1" si="0"/>
        <v>0.89960214075970668</v>
      </c>
      <c r="I38" s="1">
        <f t="shared" ca="1" si="1"/>
        <v>0.89960214075970668</v>
      </c>
      <c r="J38" s="1">
        <f t="shared" ca="1" si="2"/>
        <v>0</v>
      </c>
      <c r="K38" s="1">
        <f t="shared" si="3"/>
        <v>1</v>
      </c>
      <c r="L38" s="1">
        <f t="shared" ca="1" si="4"/>
        <v>1</v>
      </c>
      <c r="M38" s="1"/>
      <c r="N38" s="1"/>
      <c r="O38" s="1">
        <f t="shared" ca="1" si="5"/>
        <v>0.89960214075970668</v>
      </c>
      <c r="P38" s="1">
        <f t="shared" ca="1" si="6"/>
        <v>2</v>
      </c>
    </row>
    <row r="39" spans="1:16">
      <c r="G39" s="1">
        <f t="shared" si="7"/>
        <v>36</v>
      </c>
      <c r="H39" s="1">
        <f t="shared" ca="1" si="0"/>
        <v>0.89960214075970668</v>
      </c>
      <c r="I39" s="1">
        <f t="shared" ca="1" si="1"/>
        <v>0.89960214075970668</v>
      </c>
      <c r="J39" s="1">
        <f t="shared" ca="1" si="2"/>
        <v>0</v>
      </c>
      <c r="K39" s="1">
        <f t="shared" si="3"/>
        <v>1</v>
      </c>
      <c r="L39" s="1">
        <f t="shared" ca="1" si="4"/>
        <v>1</v>
      </c>
      <c r="M39" s="1"/>
      <c r="N39" s="1"/>
      <c r="O39" s="1">
        <f t="shared" ca="1" si="5"/>
        <v>0.89960214075970668</v>
      </c>
      <c r="P39" s="1">
        <f t="shared" ca="1" si="6"/>
        <v>2</v>
      </c>
    </row>
    <row r="40" spans="1:16">
      <c r="G40" s="1">
        <f t="shared" si="7"/>
        <v>37</v>
      </c>
      <c r="H40" s="1">
        <f t="shared" ca="1" si="0"/>
        <v>0.89960214075970668</v>
      </c>
      <c r="I40" s="1">
        <f t="shared" ca="1" si="1"/>
        <v>0.89960214075970668</v>
      </c>
      <c r="J40" s="1">
        <f t="shared" ca="1" si="2"/>
        <v>0</v>
      </c>
      <c r="K40" s="1">
        <f t="shared" si="3"/>
        <v>1</v>
      </c>
      <c r="L40" s="1">
        <f t="shared" ca="1" si="4"/>
        <v>1</v>
      </c>
      <c r="M40" s="1"/>
      <c r="N40" s="1"/>
      <c r="O40" s="1">
        <f t="shared" ca="1" si="5"/>
        <v>0.89960214075970668</v>
      </c>
      <c r="P40" s="1">
        <f t="shared" ca="1" si="6"/>
        <v>2</v>
      </c>
    </row>
    <row r="41" spans="1:16">
      <c r="G41" s="1">
        <f t="shared" si="7"/>
        <v>38</v>
      </c>
      <c r="H41" s="1">
        <f t="shared" ca="1" si="0"/>
        <v>0.89960214075970668</v>
      </c>
      <c r="I41" s="1">
        <f t="shared" ca="1" si="1"/>
        <v>0.89960214075970668</v>
      </c>
      <c r="J41" s="1">
        <f t="shared" ca="1" si="2"/>
        <v>0</v>
      </c>
      <c r="K41" s="1">
        <f t="shared" si="3"/>
        <v>1</v>
      </c>
      <c r="L41" s="1">
        <f t="shared" ca="1" si="4"/>
        <v>1</v>
      </c>
      <c r="M41" s="1"/>
      <c r="N41" s="1"/>
      <c r="O41" s="1">
        <f t="shared" ca="1" si="5"/>
        <v>0.89960214075970668</v>
      </c>
      <c r="P41" s="1">
        <f t="shared" ca="1" si="6"/>
        <v>2</v>
      </c>
    </row>
    <row r="42" spans="1:16">
      <c r="G42" s="1">
        <f t="shared" si="7"/>
        <v>39</v>
      </c>
      <c r="H42" s="1">
        <f t="shared" ca="1" si="0"/>
        <v>0.89960214075970668</v>
      </c>
      <c r="I42" s="1">
        <f t="shared" ca="1" si="1"/>
        <v>0.89960214075970668</v>
      </c>
      <c r="J42" s="1">
        <f t="shared" ca="1" si="2"/>
        <v>0</v>
      </c>
      <c r="K42" s="1">
        <f t="shared" si="3"/>
        <v>1</v>
      </c>
      <c r="L42" s="1">
        <f t="shared" ca="1" si="4"/>
        <v>1</v>
      </c>
      <c r="M42" s="1"/>
      <c r="N42" s="1"/>
      <c r="O42" s="1">
        <f t="shared" ca="1" si="5"/>
        <v>0.89960214075970668</v>
      </c>
      <c r="P42" s="1">
        <f t="shared" ca="1" si="6"/>
        <v>2</v>
      </c>
    </row>
    <row r="43" spans="1:16">
      <c r="G43" s="1">
        <f t="shared" si="7"/>
        <v>40</v>
      </c>
      <c r="H43" s="1">
        <f t="shared" ca="1" si="0"/>
        <v>0.89960214075970668</v>
      </c>
      <c r="I43" s="1">
        <f t="shared" ca="1" si="1"/>
        <v>0.89960214075970668</v>
      </c>
      <c r="J43" s="1">
        <f t="shared" ca="1" si="2"/>
        <v>0</v>
      </c>
      <c r="K43" s="1">
        <f t="shared" si="3"/>
        <v>1</v>
      </c>
      <c r="L43" s="1">
        <f t="shared" ca="1" si="4"/>
        <v>1</v>
      </c>
      <c r="M43" s="1"/>
      <c r="N43" s="1"/>
      <c r="O43" s="1">
        <f t="shared" ca="1" si="5"/>
        <v>0.89960214075970668</v>
      </c>
      <c r="P43" s="1">
        <f t="shared" ca="1" si="6"/>
        <v>2</v>
      </c>
    </row>
    <row r="44" spans="1:16">
      <c r="G44" s="1">
        <f t="shared" si="7"/>
        <v>41</v>
      </c>
      <c r="H44" s="1">
        <f t="shared" ca="1" si="0"/>
        <v>0.89960214075970668</v>
      </c>
      <c r="I44" s="1">
        <f t="shared" ca="1" si="1"/>
        <v>0.89960214075970668</v>
      </c>
      <c r="J44" s="1">
        <f t="shared" ca="1" si="2"/>
        <v>0</v>
      </c>
      <c r="K44" s="1">
        <f t="shared" si="3"/>
        <v>1</v>
      </c>
      <c r="L44" s="1">
        <f t="shared" ca="1" si="4"/>
        <v>1</v>
      </c>
      <c r="M44" s="1"/>
      <c r="N44" s="1"/>
      <c r="O44" s="1">
        <f t="shared" ca="1" si="5"/>
        <v>0.89960214075970668</v>
      </c>
      <c r="P44" s="1">
        <f t="shared" ca="1" si="6"/>
        <v>2</v>
      </c>
    </row>
    <row r="45" spans="1:16">
      <c r="G45" s="1">
        <f t="shared" si="7"/>
        <v>42</v>
      </c>
      <c r="H45" s="1">
        <f t="shared" ca="1" si="0"/>
        <v>0.89960214075970668</v>
      </c>
      <c r="I45" s="1">
        <f t="shared" ca="1" si="1"/>
        <v>0.89960214075970668</v>
      </c>
      <c r="J45" s="1">
        <f t="shared" ca="1" si="2"/>
        <v>0</v>
      </c>
      <c r="K45" s="1">
        <f t="shared" si="3"/>
        <v>1</v>
      </c>
      <c r="L45" s="1">
        <f t="shared" ca="1" si="4"/>
        <v>1</v>
      </c>
      <c r="M45" s="1"/>
      <c r="N45" s="1"/>
      <c r="O45" s="1">
        <f t="shared" ca="1" si="5"/>
        <v>0.89960214075970668</v>
      </c>
      <c r="P45" s="1">
        <f t="shared" ca="1" si="6"/>
        <v>2</v>
      </c>
    </row>
    <row r="46" spans="1:16">
      <c r="G46" s="1">
        <f t="shared" si="7"/>
        <v>43</v>
      </c>
      <c r="H46" s="1">
        <f t="shared" ca="1" si="0"/>
        <v>0.89960214075970668</v>
      </c>
      <c r="I46" s="1">
        <f t="shared" ca="1" si="1"/>
        <v>0.89960214075970668</v>
      </c>
      <c r="J46" s="1">
        <f t="shared" ca="1" si="2"/>
        <v>0</v>
      </c>
      <c r="K46" s="1">
        <f t="shared" si="3"/>
        <v>1</v>
      </c>
      <c r="L46" s="1">
        <f t="shared" ca="1" si="4"/>
        <v>1</v>
      </c>
      <c r="M46" s="1"/>
      <c r="N46" s="1"/>
      <c r="O46" s="1">
        <f t="shared" ca="1" si="5"/>
        <v>0.89960214075970668</v>
      </c>
      <c r="P46" s="1">
        <f t="shared" ca="1" si="6"/>
        <v>2</v>
      </c>
    </row>
    <row r="47" spans="1:16">
      <c r="G47" s="1">
        <f t="shared" si="7"/>
        <v>44</v>
      </c>
      <c r="H47" s="1">
        <f t="shared" ca="1" si="0"/>
        <v>0.89960214075970668</v>
      </c>
      <c r="I47" s="1">
        <f t="shared" ca="1" si="1"/>
        <v>0.89960214075970668</v>
      </c>
      <c r="J47" s="1">
        <f t="shared" ca="1" si="2"/>
        <v>0</v>
      </c>
      <c r="K47" s="1">
        <f t="shared" si="3"/>
        <v>1</v>
      </c>
      <c r="L47" s="1">
        <f t="shared" ca="1" si="4"/>
        <v>1</v>
      </c>
      <c r="M47" s="1"/>
      <c r="N47" s="1"/>
      <c r="O47" s="1">
        <f t="shared" ca="1" si="5"/>
        <v>0.89960214075970668</v>
      </c>
      <c r="P47" s="1">
        <f t="shared" ca="1" si="6"/>
        <v>2</v>
      </c>
    </row>
    <row r="48" spans="1:16">
      <c r="G48" s="1">
        <f t="shared" si="7"/>
        <v>45</v>
      </c>
      <c r="H48" s="1">
        <f t="shared" ca="1" si="0"/>
        <v>0.89960214075970668</v>
      </c>
      <c r="I48" s="1">
        <f t="shared" ca="1" si="1"/>
        <v>0.89960214075970668</v>
      </c>
      <c r="J48" s="1">
        <f t="shared" ca="1" si="2"/>
        <v>0</v>
      </c>
      <c r="K48" s="1">
        <f t="shared" si="3"/>
        <v>1</v>
      </c>
      <c r="L48" s="1">
        <f t="shared" ca="1" si="4"/>
        <v>1</v>
      </c>
      <c r="M48" s="1"/>
      <c r="N48" s="1"/>
      <c r="O48" s="1">
        <f t="shared" ca="1" si="5"/>
        <v>0.89960214075970668</v>
      </c>
      <c r="P48" s="1">
        <f t="shared" ca="1" si="6"/>
        <v>2</v>
      </c>
    </row>
    <row r="49" spans="7:16">
      <c r="G49" s="1">
        <f t="shared" si="7"/>
        <v>46</v>
      </c>
      <c r="H49" s="1">
        <f t="shared" ca="1" si="0"/>
        <v>0.89960214075970668</v>
      </c>
      <c r="I49" s="1">
        <f t="shared" ca="1" si="1"/>
        <v>0.89960214075970668</v>
      </c>
      <c r="J49" s="1">
        <f t="shared" ca="1" si="2"/>
        <v>0</v>
      </c>
      <c r="K49" s="1">
        <f t="shared" si="3"/>
        <v>1</v>
      </c>
      <c r="L49" s="1">
        <f t="shared" ca="1" si="4"/>
        <v>1</v>
      </c>
      <c r="M49" s="1"/>
      <c r="N49" s="1"/>
      <c r="O49" s="1">
        <f t="shared" ca="1" si="5"/>
        <v>0.89960214075970668</v>
      </c>
      <c r="P49" s="1">
        <f t="shared" ca="1" si="6"/>
        <v>2</v>
      </c>
    </row>
    <row r="50" spans="7:16">
      <c r="G50" s="1">
        <f t="shared" si="7"/>
        <v>47</v>
      </c>
      <c r="H50" s="1">
        <f t="shared" ca="1" si="0"/>
        <v>0.89960214075970668</v>
      </c>
      <c r="I50" s="1">
        <f t="shared" ca="1" si="1"/>
        <v>0.89960214075970668</v>
      </c>
      <c r="J50" s="1">
        <f t="shared" ca="1" si="2"/>
        <v>0</v>
      </c>
      <c r="K50" s="1">
        <f t="shared" si="3"/>
        <v>1</v>
      </c>
      <c r="L50" s="1">
        <f t="shared" ca="1" si="4"/>
        <v>1</v>
      </c>
      <c r="M50" s="1"/>
      <c r="N50" s="1"/>
      <c r="O50" s="1">
        <f t="shared" ca="1" si="5"/>
        <v>0.89960214075970668</v>
      </c>
      <c r="P50" s="1">
        <f t="shared" ca="1" si="6"/>
        <v>2</v>
      </c>
    </row>
    <row r="51" spans="7:16">
      <c r="G51" s="1">
        <f t="shared" si="7"/>
        <v>48</v>
      </c>
      <c r="H51" s="1">
        <f t="shared" ca="1" si="0"/>
        <v>0.89960214075970668</v>
      </c>
      <c r="I51" s="1">
        <f t="shared" ca="1" si="1"/>
        <v>0.89960214075970668</v>
      </c>
      <c r="J51" s="1">
        <f t="shared" ca="1" si="2"/>
        <v>0</v>
      </c>
      <c r="K51" s="1">
        <f t="shared" si="3"/>
        <v>1</v>
      </c>
      <c r="L51" s="1">
        <f t="shared" ca="1" si="4"/>
        <v>1</v>
      </c>
      <c r="M51" s="1"/>
      <c r="N51" s="1"/>
      <c r="O51" s="1">
        <f t="shared" ca="1" si="5"/>
        <v>0.89960214075970668</v>
      </c>
      <c r="P51" s="1">
        <f t="shared" ca="1" si="6"/>
        <v>2</v>
      </c>
    </row>
    <row r="52" spans="7:16">
      <c r="G52" s="1">
        <f t="shared" si="7"/>
        <v>49</v>
      </c>
      <c r="H52" s="1">
        <f t="shared" ca="1" si="0"/>
        <v>0.89960214075970668</v>
      </c>
      <c r="I52" s="1">
        <f t="shared" ca="1" si="1"/>
        <v>0.89960214075970668</v>
      </c>
      <c r="J52" s="1">
        <f t="shared" ca="1" si="2"/>
        <v>0</v>
      </c>
      <c r="K52" s="1">
        <f t="shared" si="3"/>
        <v>1</v>
      </c>
      <c r="L52" s="1">
        <f t="shared" ca="1" si="4"/>
        <v>1</v>
      </c>
      <c r="M52" s="1"/>
      <c r="N52" s="1"/>
      <c r="O52" s="1">
        <f t="shared" ca="1" si="5"/>
        <v>0.89960214075970668</v>
      </c>
      <c r="P52" s="1">
        <f t="shared" ca="1" si="6"/>
        <v>2</v>
      </c>
    </row>
    <row r="53" spans="7:16">
      <c r="G53" s="1">
        <f t="shared" si="7"/>
        <v>50</v>
      </c>
      <c r="H53" s="1">
        <f t="shared" ca="1" si="0"/>
        <v>0.89960214075970668</v>
      </c>
      <c r="I53" s="1">
        <f t="shared" ca="1" si="1"/>
        <v>0.89960214075970668</v>
      </c>
      <c r="J53" s="1">
        <f t="shared" ca="1" si="2"/>
        <v>0</v>
      </c>
      <c r="K53" s="1">
        <f t="shared" si="3"/>
        <v>1</v>
      </c>
      <c r="L53" s="1">
        <f t="shared" ca="1" si="4"/>
        <v>1</v>
      </c>
      <c r="M53" s="1"/>
      <c r="N53" s="1"/>
      <c r="O53" s="1">
        <f t="shared" ca="1" si="5"/>
        <v>0.89960214075970668</v>
      </c>
      <c r="P53" s="1">
        <f t="shared" ca="1" si="6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E3D0-C91F-4F67-8B00-9411A2A737A8}">
  <dimension ref="A1:Q53"/>
  <sheetViews>
    <sheetView tabSelected="1" topLeftCell="A2" workbookViewId="0">
      <selection activeCell="B4" sqref="B4"/>
    </sheetView>
  </sheetViews>
  <sheetFormatPr defaultRowHeight="15"/>
  <cols>
    <col min="1" max="1" width="31" customWidth="1"/>
    <col min="6" max="6" width="31.42578125" bestFit="1" customWidth="1"/>
    <col min="8" max="8" width="10.140625" bestFit="1" customWidth="1"/>
    <col min="9" max="9" width="16.7109375" bestFit="1" customWidth="1"/>
    <col min="10" max="10" width="24" bestFit="1" customWidth="1"/>
    <col min="12" max="12" width="15.140625" bestFit="1" customWidth="1"/>
    <col min="13" max="13" width="11.7109375" bestFit="1" customWidth="1"/>
    <col min="14" max="15" width="15.42578125" bestFit="1" customWidth="1"/>
    <col min="16" max="16" width="18.85546875" bestFit="1" customWidth="1"/>
    <col min="17" max="17" width="13.5703125" bestFit="1" customWidth="1"/>
  </cols>
  <sheetData>
    <row r="1" spans="1:17">
      <c r="A1" t="s">
        <v>40</v>
      </c>
      <c r="H1" s="3"/>
    </row>
    <row r="2" spans="1:17">
      <c r="B2" t="s">
        <v>2</v>
      </c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t="s">
        <v>41</v>
      </c>
      <c r="B3">
        <v>170</v>
      </c>
      <c r="F3" s="3" t="s">
        <v>42</v>
      </c>
      <c r="J3" s="1"/>
      <c r="K3" s="1"/>
      <c r="L3" s="1"/>
      <c r="M3" s="1"/>
      <c r="N3" s="1"/>
      <c r="O3" s="1"/>
      <c r="P3" s="1"/>
      <c r="Q3" s="1"/>
    </row>
    <row r="4" spans="1:17">
      <c r="A4" t="s">
        <v>12</v>
      </c>
      <c r="B4">
        <f>B5/B3</f>
        <v>1.411764705882353</v>
      </c>
      <c r="C4" t="s">
        <v>13</v>
      </c>
      <c r="D4">
        <f>1/B4</f>
        <v>0.70833333333333326</v>
      </c>
      <c r="F4" t="s">
        <v>21</v>
      </c>
      <c r="G4">
        <f ca="1">$B$4+($B$4*RAND()-0.1)*0.1</f>
        <v>1.4108896236161668</v>
      </c>
      <c r="H4" t="s">
        <v>22</v>
      </c>
      <c r="J4" s="1"/>
      <c r="K4" s="1"/>
      <c r="L4" s="1"/>
      <c r="M4" s="1"/>
      <c r="N4" s="1"/>
      <c r="O4" s="1"/>
      <c r="P4" s="1"/>
      <c r="Q4" s="1"/>
    </row>
    <row r="5" spans="1:17">
      <c r="A5" t="s">
        <v>18</v>
      </c>
      <c r="B5">
        <v>240</v>
      </c>
      <c r="C5" t="s">
        <v>19</v>
      </c>
      <c r="F5" t="s">
        <v>29</v>
      </c>
      <c r="G5" s="1">
        <f ca="1">$B$5/$G$4</f>
        <v>170.10543984643559</v>
      </c>
      <c r="H5" t="s">
        <v>24</v>
      </c>
      <c r="K5" s="1"/>
      <c r="M5" s="1"/>
      <c r="N5" s="1"/>
      <c r="O5" s="1"/>
      <c r="P5" s="1"/>
      <c r="Q5" s="1"/>
    </row>
    <row r="6" spans="1:17">
      <c r="A6" t="s">
        <v>43</v>
      </c>
      <c r="B6">
        <v>2</v>
      </c>
      <c r="C6" t="s">
        <v>15</v>
      </c>
      <c r="F6" t="s">
        <v>30</v>
      </c>
      <c r="G6" s="1">
        <f ca="1">$G$5*B6</f>
        <v>340.21087969287117</v>
      </c>
      <c r="H6" t="s">
        <v>15</v>
      </c>
      <c r="J6" s="1"/>
      <c r="K6" s="1"/>
      <c r="L6" s="1"/>
      <c r="M6" s="1"/>
      <c r="N6" s="1"/>
      <c r="O6" s="1"/>
      <c r="P6" s="1"/>
      <c r="Q6" s="1"/>
    </row>
    <row r="7" spans="1:17">
      <c r="A7" t="s">
        <v>44</v>
      </c>
      <c r="B7">
        <v>1</v>
      </c>
      <c r="C7" t="s">
        <v>17</v>
      </c>
      <c r="F7" t="s">
        <v>31</v>
      </c>
      <c r="G7">
        <f ca="1">CEILING(G6/$B$5,1)</f>
        <v>2</v>
      </c>
      <c r="H7" t="s">
        <v>32</v>
      </c>
      <c r="I7" t="s">
        <v>33</v>
      </c>
      <c r="J7" s="1"/>
      <c r="K7" s="1"/>
      <c r="L7" s="1"/>
      <c r="M7" s="1"/>
      <c r="N7" s="1"/>
      <c r="O7" s="1"/>
      <c r="P7" s="1"/>
      <c r="Q7" s="1"/>
    </row>
    <row r="8" spans="1:17">
      <c r="A8" t="s">
        <v>45</v>
      </c>
      <c r="B8">
        <v>3</v>
      </c>
      <c r="C8" t="s">
        <v>15</v>
      </c>
      <c r="F8" t="s">
        <v>34</v>
      </c>
      <c r="G8" s="2">
        <f ca="1">($B$6*$G$5)/$B$5</f>
        <v>1.41754533205363</v>
      </c>
      <c r="I8" s="2">
        <f ca="1">MIN(1,G8)</f>
        <v>1</v>
      </c>
      <c r="J8" s="1"/>
      <c r="K8" s="1"/>
      <c r="L8" s="1"/>
      <c r="M8" s="1"/>
      <c r="N8" s="1"/>
      <c r="O8" s="1"/>
      <c r="P8" s="1"/>
      <c r="Q8" s="1"/>
    </row>
    <row r="9" spans="1:17">
      <c r="A9" t="s">
        <v>46</v>
      </c>
      <c r="B9">
        <v>1</v>
      </c>
      <c r="C9" t="s">
        <v>17</v>
      </c>
      <c r="F9" t="s">
        <v>35</v>
      </c>
      <c r="G9" s="2">
        <f ca="1">(($B$6*$G$5)/2)/$B$5</f>
        <v>0.70877266602681499</v>
      </c>
      <c r="I9" s="2">
        <f t="shared" ref="I9:I10" ca="1" si="0">MIN(1,G9)</f>
        <v>0.70877266602681499</v>
      </c>
      <c r="J9" s="1"/>
      <c r="K9" s="1"/>
      <c r="L9" s="1"/>
      <c r="M9" s="1"/>
      <c r="N9" s="1"/>
      <c r="O9" s="1"/>
      <c r="P9" s="1"/>
      <c r="Q9" s="1"/>
    </row>
    <row r="10" spans="1:17">
      <c r="A10" t="s">
        <v>47</v>
      </c>
      <c r="B10">
        <v>1</v>
      </c>
      <c r="C10" t="s">
        <v>15</v>
      </c>
      <c r="F10" t="s">
        <v>36</v>
      </c>
      <c r="G10" s="2">
        <f ca="1">(($B$6*$G$5)/3)/$B$5</f>
        <v>0.47251511068454327</v>
      </c>
      <c r="I10" s="2">
        <f t="shared" ca="1" si="0"/>
        <v>0.47251511068454327</v>
      </c>
      <c r="J10" s="1"/>
      <c r="K10" s="1"/>
      <c r="L10" s="1"/>
      <c r="M10" s="1"/>
      <c r="N10" s="1"/>
      <c r="O10" s="1"/>
      <c r="P10" s="1"/>
      <c r="Q10" s="1"/>
    </row>
    <row r="11" spans="1:17">
      <c r="A11" t="s">
        <v>48</v>
      </c>
      <c r="B11">
        <v>1</v>
      </c>
      <c r="C11" t="s">
        <v>17</v>
      </c>
      <c r="J11" s="1"/>
      <c r="K11" s="1"/>
      <c r="L11" s="1"/>
      <c r="M11" s="1"/>
      <c r="N11" s="1"/>
      <c r="O11" s="1"/>
      <c r="P11" s="1"/>
      <c r="Q11" s="1"/>
    </row>
    <row r="12" spans="1:17">
      <c r="A12" t="s">
        <v>49</v>
      </c>
      <c r="B12" s="1">
        <f>SUM(B6,B8,B10)</f>
        <v>6</v>
      </c>
      <c r="C12" t="s">
        <v>15</v>
      </c>
      <c r="F12" s="4" t="s">
        <v>50</v>
      </c>
      <c r="J12" s="1"/>
      <c r="K12" s="1"/>
      <c r="L12" s="1"/>
      <c r="M12" s="1"/>
      <c r="N12" s="1"/>
      <c r="O12" s="1"/>
      <c r="P12" s="1"/>
      <c r="Q12" s="1"/>
    </row>
    <row r="13" spans="1:17">
      <c r="A13" t="s">
        <v>51</v>
      </c>
      <c r="B13">
        <f>SUM(B7,B9,B11)</f>
        <v>3</v>
      </c>
      <c r="C13" t="s">
        <v>52</v>
      </c>
      <c r="F13" t="s">
        <v>21</v>
      </c>
      <c r="G13">
        <f ca="1">$B$4+($B$4*RAND()-0.1)*0.1</f>
        <v>1.5099943109221055</v>
      </c>
      <c r="H13" t="s">
        <v>22</v>
      </c>
      <c r="J13" s="1"/>
      <c r="K13" s="1"/>
      <c r="L13" s="1"/>
      <c r="M13" s="1"/>
      <c r="N13" s="1"/>
      <c r="O13" s="1"/>
      <c r="P13" s="1"/>
      <c r="Q13" s="1"/>
    </row>
    <row r="14" spans="1:17">
      <c r="F14" t="s">
        <v>29</v>
      </c>
      <c r="G14" s="1">
        <f ca="1">$B$5/$G$4</f>
        <v>170.10543984643559</v>
      </c>
      <c r="H14" t="s">
        <v>24</v>
      </c>
      <c r="J14" s="1"/>
      <c r="K14" s="1"/>
      <c r="L14" s="1"/>
      <c r="M14" s="1"/>
      <c r="N14" s="1"/>
      <c r="O14" s="1"/>
      <c r="P14" s="1"/>
      <c r="Q14" s="1"/>
    </row>
    <row r="15" spans="1:17">
      <c r="F15" t="s">
        <v>30</v>
      </c>
      <c r="G15" s="1">
        <f ca="1">$G$5*B8</f>
        <v>510.31631953930673</v>
      </c>
      <c r="H15" t="s">
        <v>15</v>
      </c>
      <c r="J15" s="1"/>
      <c r="K15" s="1"/>
      <c r="L15" s="1"/>
      <c r="M15" s="1"/>
      <c r="N15" s="1"/>
      <c r="O15" s="1"/>
      <c r="P15" s="1"/>
      <c r="Q15" s="1"/>
    </row>
    <row r="16" spans="1:17">
      <c r="A16" s="3"/>
      <c r="F16" t="s">
        <v>31</v>
      </c>
      <c r="G16">
        <f ca="1">CEILING(G15/$B$5,1)</f>
        <v>3</v>
      </c>
      <c r="H16" t="s">
        <v>32</v>
      </c>
      <c r="I16" t="s">
        <v>33</v>
      </c>
      <c r="J16" s="1"/>
      <c r="K16" s="1"/>
      <c r="L16" s="1"/>
      <c r="M16" s="1"/>
      <c r="N16" s="1"/>
      <c r="O16" s="1"/>
      <c r="P16" s="1"/>
      <c r="Q16" s="1"/>
    </row>
    <row r="17" spans="1:17">
      <c r="F17" t="s">
        <v>34</v>
      </c>
      <c r="G17" s="2">
        <f ca="1">($B$8*$G$14)/$B$5</f>
        <v>2.1263179980804447</v>
      </c>
      <c r="I17" s="2">
        <f ca="1">MIN(1,G17)</f>
        <v>1</v>
      </c>
      <c r="J17" s="1"/>
      <c r="K17" s="1"/>
      <c r="L17" s="1"/>
      <c r="M17" s="1"/>
      <c r="N17" s="1"/>
      <c r="O17" s="1"/>
      <c r="P17" s="1"/>
      <c r="Q17" s="1"/>
    </row>
    <row r="18" spans="1:17">
      <c r="F18" t="s">
        <v>35</v>
      </c>
      <c r="G18" s="2">
        <f ca="1">(($B$8*$G$14)/2)/$B$5</f>
        <v>1.0631589990402224</v>
      </c>
      <c r="I18" s="2">
        <f t="shared" ref="I18:I19" ca="1" si="1">MIN(1,G18)</f>
        <v>1</v>
      </c>
      <c r="J18" s="1"/>
      <c r="K18" s="1"/>
      <c r="L18" s="1"/>
      <c r="M18" s="1"/>
      <c r="N18" s="1"/>
      <c r="O18" s="1"/>
      <c r="P18" s="1"/>
      <c r="Q18" s="1"/>
    </row>
    <row r="19" spans="1:17">
      <c r="A19" t="s">
        <v>53</v>
      </c>
      <c r="B19" t="s">
        <v>20</v>
      </c>
      <c r="F19" t="s">
        <v>36</v>
      </c>
      <c r="G19" s="2">
        <f ca="1">(($B$8*$G$14)/3)/$B$5</f>
        <v>0.70877266602681499</v>
      </c>
      <c r="I19" s="2">
        <f t="shared" ca="1" si="1"/>
        <v>0.70877266602681499</v>
      </c>
      <c r="J19" s="1"/>
      <c r="K19" s="1"/>
      <c r="L19" s="1"/>
      <c r="M19" s="1"/>
      <c r="N19" s="1"/>
      <c r="O19" s="1"/>
      <c r="P19" s="1"/>
      <c r="Q19" s="1"/>
    </row>
    <row r="20" spans="1:17">
      <c r="A20" t="s">
        <v>21</v>
      </c>
      <c r="B20">
        <f ca="1">B4+(B4*RAND()-0.1)*0.1</f>
        <v>1.5234358658045706</v>
      </c>
      <c r="C20" t="s">
        <v>22</v>
      </c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t="s">
        <v>29</v>
      </c>
      <c r="B21">
        <f>B5/B4</f>
        <v>170</v>
      </c>
      <c r="C21" t="s">
        <v>24</v>
      </c>
      <c r="F21" s="4" t="s">
        <v>54</v>
      </c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t="s">
        <v>30</v>
      </c>
      <c r="B22">
        <f>B21*B12</f>
        <v>1020</v>
      </c>
      <c r="C22" t="s">
        <v>15</v>
      </c>
      <c r="F22" t="s">
        <v>21</v>
      </c>
      <c r="G22">
        <f ca="1">$B$4+($B$4*RAND()-0.1)*0.1</f>
        <v>1.4631062462859914</v>
      </c>
      <c r="H22" t="s">
        <v>22</v>
      </c>
      <c r="J22" s="1"/>
      <c r="K22" s="1"/>
      <c r="L22" s="1"/>
      <c r="M22" s="1"/>
      <c r="N22" s="1"/>
      <c r="O22" s="1"/>
      <c r="P22" s="1"/>
      <c r="Q22" s="1"/>
    </row>
    <row r="23" spans="1:17">
      <c r="A23" t="s">
        <v>31</v>
      </c>
      <c r="B23">
        <f>CEILING(B22/B5,1)</f>
        <v>5</v>
      </c>
      <c r="C23" t="s">
        <v>32</v>
      </c>
      <c r="D23" t="s">
        <v>55</v>
      </c>
      <c r="F23" t="s">
        <v>29</v>
      </c>
      <c r="G23" s="1">
        <f ca="1">$B$5/$G$4</f>
        <v>170.10543984643559</v>
      </c>
      <c r="H23" t="s">
        <v>24</v>
      </c>
      <c r="J23" s="1"/>
      <c r="K23" s="1"/>
      <c r="L23" s="1"/>
      <c r="M23" s="1"/>
      <c r="N23" s="1"/>
      <c r="O23" s="1"/>
      <c r="P23" s="1"/>
      <c r="Q23" s="1"/>
    </row>
    <row r="24" spans="1:17">
      <c r="A24" t="s">
        <v>34</v>
      </c>
      <c r="B24" s="2">
        <f>(B12*B21)/B5</f>
        <v>4.25</v>
      </c>
      <c r="D24" s="2">
        <f>MIN(1,B24)</f>
        <v>1</v>
      </c>
      <c r="F24" t="s">
        <v>30</v>
      </c>
      <c r="G24" s="1">
        <f ca="1">$G$5*B10</f>
        <v>170.10543984643559</v>
      </c>
      <c r="H24" t="s">
        <v>15</v>
      </c>
      <c r="J24" s="1"/>
      <c r="K24" s="1"/>
      <c r="L24" s="1"/>
      <c r="M24" s="1"/>
      <c r="N24" s="1"/>
      <c r="O24" s="1"/>
      <c r="P24" s="1"/>
      <c r="Q24" s="1"/>
    </row>
    <row r="25" spans="1:17">
      <c r="A25" t="s">
        <v>35</v>
      </c>
      <c r="B25" s="2">
        <f>((B12*B21)/2)/B5</f>
        <v>2.125</v>
      </c>
      <c r="D25" s="2">
        <f>MIN(1,B25)</f>
        <v>1</v>
      </c>
      <c r="F25" t="s">
        <v>31</v>
      </c>
      <c r="G25">
        <f ca="1">CEILING(G24/$B$5,1)</f>
        <v>1</v>
      </c>
      <c r="H25" t="s">
        <v>32</v>
      </c>
      <c r="I25" t="s">
        <v>33</v>
      </c>
      <c r="J25" s="1"/>
      <c r="K25" s="1"/>
      <c r="L25" s="1"/>
      <c r="M25" s="1"/>
      <c r="N25" s="1"/>
      <c r="O25" s="1"/>
      <c r="P25" s="1"/>
      <c r="Q25" s="1"/>
    </row>
    <row r="26" spans="1:17">
      <c r="A26" t="s">
        <v>36</v>
      </c>
      <c r="B26" s="2">
        <f>((B12*B21)/3)/B5</f>
        <v>1.4166666666666667</v>
      </c>
      <c r="D26" s="2">
        <f>MIN(1,B26)</f>
        <v>1</v>
      </c>
      <c r="F26" t="s">
        <v>34</v>
      </c>
      <c r="G26" s="2">
        <f ca="1">($B$10*$G$23)/$B$5</f>
        <v>0.70877266602681499</v>
      </c>
      <c r="I26" s="2">
        <f ca="1">MIN(1,G26)</f>
        <v>0.70877266602681499</v>
      </c>
      <c r="J26" s="1"/>
      <c r="K26" s="1"/>
      <c r="L26" s="1"/>
      <c r="M26" s="1"/>
      <c r="N26" s="1"/>
      <c r="O26" s="1"/>
      <c r="P26" s="1"/>
      <c r="Q26" s="1"/>
    </row>
    <row r="27" spans="1:17">
      <c r="F27" t="s">
        <v>35</v>
      </c>
      <c r="G27" s="2">
        <f ca="1">(($B$10*$G$23)/2)/$B$5</f>
        <v>0.3543863330134075</v>
      </c>
      <c r="I27" s="2">
        <f t="shared" ref="I27:I28" ca="1" si="2">MIN(1,G27)</f>
        <v>0.3543863330134075</v>
      </c>
      <c r="J27" s="1"/>
      <c r="K27" s="1"/>
      <c r="L27" s="1"/>
      <c r="M27" s="1"/>
      <c r="N27" s="1"/>
      <c r="O27" s="1"/>
      <c r="P27" s="1"/>
      <c r="Q27" s="1"/>
    </row>
    <row r="28" spans="1:17">
      <c r="F28" t="s">
        <v>36</v>
      </c>
      <c r="G28" s="2">
        <f ca="1">(($B$10*$G$23)/3)/$B$5</f>
        <v>0.23625755534227164</v>
      </c>
      <c r="I28" s="2">
        <f t="shared" ca="1" si="2"/>
        <v>0.23625755534227164</v>
      </c>
      <c r="J28" s="1"/>
      <c r="K28" s="1"/>
      <c r="L28" s="1"/>
      <c r="M28" s="1"/>
      <c r="N28" s="1"/>
      <c r="O28" s="1"/>
      <c r="P28" s="1"/>
      <c r="Q28" s="1"/>
    </row>
    <row r="29" spans="1:17"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8:17"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8:17"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8:17"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8:17"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8:17"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8:17"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8:17"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8:17"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8:17"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8:17"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8:17"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8:17"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8:17"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8:17"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8:17"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8:17"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8:17"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8:17"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8:17"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8:17"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8:17">
      <c r="H53" s="1"/>
      <c r="I53" s="1"/>
      <c r="J53" s="1"/>
      <c r="K53" s="1"/>
      <c r="L53" s="1"/>
      <c r="M53" s="1"/>
      <c r="N53" s="1"/>
      <c r="O53" s="1"/>
      <c r="P53" s="1"/>
      <c r="Q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 Munoz Aneiros</cp:lastModifiedBy>
  <cp:revision/>
  <dcterms:created xsi:type="dcterms:W3CDTF">2025-01-02T22:44:17Z</dcterms:created>
  <dcterms:modified xsi:type="dcterms:W3CDTF">2025-03-16T00:19:54Z</dcterms:modified>
  <cp:category/>
  <cp:contentStatus/>
</cp:coreProperties>
</file>