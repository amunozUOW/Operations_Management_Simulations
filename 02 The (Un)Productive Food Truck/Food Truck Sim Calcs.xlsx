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9"/>
  <workbookPr/>
  <mc:AlternateContent xmlns:mc="http://schemas.openxmlformats.org/markup-compatibility/2006">
    <mc:Choice Requires="x15">
      <x15ac:absPath xmlns:x15ac="http://schemas.microsoft.com/office/spreadsheetml/2010/11/ac" url="https://uowmailedu-my.sharepoint.com/personal/amunoz_uow_edu_au/Documents/OPS802 Tri 1 2025 Resources Shared/Workshop 2 2025/"/>
    </mc:Choice>
  </mc:AlternateContent>
  <xr:revisionPtr revIDLastSave="726" documentId="11_0B1D56BE9CDCCE836B02CE7A5FB0D4A9BBFD1C62" xr6:coauthVersionLast="47" xr6:coauthVersionMax="47" xr10:uidLastSave="{74B2AE06-FC73-436B-B829-7DE1DE1FC7E2}"/>
  <bookViews>
    <workbookView xWindow="4340" yWindow="500" windowWidth="24460" windowHeight="16260" firstSheet="1" activeTab="1" xr2:uid="{00000000-000D-0000-FFFF-FFFF00000000}"/>
  </bookViews>
  <sheets>
    <sheet name="Base Data" sheetId="1" r:id="rId1"/>
    <sheet name="Single Factor Prod Surface" sheetId="2" r:id="rId2"/>
    <sheet name="Multi Factor Prod Surfac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" i="2" l="1"/>
  <c r="A58" i="2" s="1"/>
  <c r="A59" i="2" s="1"/>
  <c r="A60" i="2" s="1"/>
  <c r="A61" i="2" s="1"/>
  <c r="A62" i="2" s="1"/>
  <c r="A63" i="2" s="1"/>
  <c r="A64" i="2" s="1"/>
  <c r="A65" i="2" s="1"/>
  <c r="I33" i="1"/>
  <c r="C15" i="1"/>
  <c r="C14" i="1"/>
  <c r="C18" i="1"/>
  <c r="H34" i="1"/>
  <c r="J32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C17" i="1"/>
  <c r="C19" i="1" s="1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D5" i="3"/>
  <c r="D6" i="3"/>
  <c r="D7" i="3"/>
  <c r="D8" i="3"/>
  <c r="D9" i="3"/>
  <c r="D10" i="3"/>
  <c r="D11" i="3"/>
  <c r="D12" i="3"/>
  <c r="D13" i="3"/>
  <c r="D4" i="3"/>
  <c r="C5" i="3"/>
  <c r="C6" i="3"/>
  <c r="C7" i="3"/>
  <c r="C8" i="3"/>
  <c r="C9" i="3"/>
  <c r="C10" i="3"/>
  <c r="C11" i="3"/>
  <c r="C12" i="3"/>
  <c r="C13" i="3"/>
  <c r="C4" i="3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C5" i="2"/>
  <c r="C6" i="2"/>
  <c r="C7" i="2"/>
  <c r="C8" i="2"/>
  <c r="C9" i="2"/>
  <c r="C10" i="2"/>
  <c r="C11" i="2"/>
  <c r="C12" i="2"/>
  <c r="C13" i="2"/>
  <c r="C4" i="2"/>
  <c r="B12" i="3"/>
  <c r="B13" i="3"/>
  <c r="B12" i="2"/>
  <c r="B13" i="2"/>
  <c r="B5" i="3"/>
  <c r="E3" i="3"/>
  <c r="F3" i="3" s="1"/>
  <c r="D3" i="3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D3" i="2"/>
  <c r="B11" i="2"/>
  <c r="B6" i="2"/>
  <c r="B7" i="2"/>
  <c r="B8" i="2"/>
  <c r="B9" i="2"/>
  <c r="B10" i="2"/>
  <c r="B5" i="2"/>
  <c r="K32" i="1" l="1"/>
  <c r="J33" i="1"/>
  <c r="J34" i="1"/>
  <c r="H35" i="1"/>
  <c r="I34" i="1"/>
  <c r="C16" i="1"/>
  <c r="B15" i="3"/>
  <c r="B16" i="3"/>
  <c r="G3" i="3"/>
  <c r="B6" i="3"/>
  <c r="C20" i="1" l="1"/>
  <c r="C21" i="1" s="1"/>
  <c r="H36" i="1"/>
  <c r="I35" i="1"/>
  <c r="J35" i="1"/>
  <c r="L32" i="1"/>
  <c r="K33" i="1"/>
  <c r="K34" i="1"/>
  <c r="K35" i="1"/>
  <c r="K36" i="1"/>
  <c r="C23" i="1"/>
  <c r="H3" i="3"/>
  <c r="B7" i="3"/>
  <c r="M32" i="1" l="1"/>
  <c r="L33" i="1"/>
  <c r="L34" i="1"/>
  <c r="L35" i="1"/>
  <c r="L36" i="1"/>
  <c r="H37" i="1"/>
  <c r="I36" i="1"/>
  <c r="J36" i="1"/>
  <c r="B8" i="3"/>
  <c r="I3" i="3"/>
  <c r="H38" i="1" l="1"/>
  <c r="I37" i="1"/>
  <c r="J37" i="1"/>
  <c r="K37" i="1"/>
  <c r="L37" i="1"/>
  <c r="N32" i="1"/>
  <c r="M33" i="1"/>
  <c r="M34" i="1"/>
  <c r="M35" i="1"/>
  <c r="M36" i="1"/>
  <c r="M37" i="1"/>
  <c r="M38" i="1"/>
  <c r="B9" i="3"/>
  <c r="J3" i="3"/>
  <c r="O32" i="1" l="1"/>
  <c r="N33" i="1"/>
  <c r="N34" i="1"/>
  <c r="N35" i="1"/>
  <c r="N36" i="1"/>
  <c r="N37" i="1"/>
  <c r="N38" i="1"/>
  <c r="H39" i="1"/>
  <c r="I38" i="1"/>
  <c r="J38" i="1"/>
  <c r="K38" i="1"/>
  <c r="L38" i="1"/>
  <c r="K3" i="3"/>
  <c r="B10" i="3"/>
  <c r="H40" i="1" l="1"/>
  <c r="I39" i="1"/>
  <c r="J39" i="1"/>
  <c r="K39" i="1"/>
  <c r="L39" i="1"/>
  <c r="M39" i="1"/>
  <c r="N39" i="1"/>
  <c r="P32" i="1"/>
  <c r="O33" i="1"/>
  <c r="O34" i="1"/>
  <c r="O35" i="1"/>
  <c r="O36" i="1"/>
  <c r="O37" i="1"/>
  <c r="O38" i="1"/>
  <c r="O39" i="1"/>
  <c r="O40" i="1"/>
  <c r="B11" i="3"/>
  <c r="L3" i="3"/>
  <c r="Q32" i="1" l="1"/>
  <c r="P33" i="1"/>
  <c r="P34" i="1"/>
  <c r="P35" i="1"/>
  <c r="P36" i="1"/>
  <c r="P37" i="1"/>
  <c r="P38" i="1"/>
  <c r="P39" i="1"/>
  <c r="P40" i="1"/>
  <c r="H41" i="1"/>
  <c r="I40" i="1"/>
  <c r="J40" i="1"/>
  <c r="K40" i="1"/>
  <c r="L40" i="1"/>
  <c r="M40" i="1"/>
  <c r="N40" i="1"/>
  <c r="M3" i="3"/>
  <c r="H42" i="1" l="1"/>
  <c r="I41" i="1"/>
  <c r="J41" i="1"/>
  <c r="K41" i="1"/>
  <c r="L41" i="1"/>
  <c r="M41" i="1"/>
  <c r="N41" i="1"/>
  <c r="O41" i="1"/>
  <c r="P41" i="1"/>
  <c r="R32" i="1"/>
  <c r="Q33" i="1"/>
  <c r="Q34" i="1"/>
  <c r="Q35" i="1"/>
  <c r="Q36" i="1"/>
  <c r="Q37" i="1"/>
  <c r="Q38" i="1"/>
  <c r="Q39" i="1"/>
  <c r="Q40" i="1"/>
  <c r="Q41" i="1"/>
  <c r="Q42" i="1"/>
  <c r="N3" i="3"/>
  <c r="S32" i="1" l="1"/>
  <c r="R33" i="1"/>
  <c r="R34" i="1"/>
  <c r="R35" i="1"/>
  <c r="R36" i="1"/>
  <c r="R37" i="1"/>
  <c r="R38" i="1"/>
  <c r="R39" i="1"/>
  <c r="R40" i="1"/>
  <c r="R41" i="1"/>
  <c r="R42" i="1"/>
  <c r="I42" i="1"/>
  <c r="J42" i="1"/>
  <c r="K42" i="1"/>
  <c r="L42" i="1"/>
  <c r="M42" i="1"/>
  <c r="N42" i="1"/>
  <c r="O42" i="1"/>
  <c r="P42" i="1"/>
  <c r="O3" i="3"/>
  <c r="T32" i="1" l="1"/>
  <c r="S33" i="1"/>
  <c r="S34" i="1"/>
  <c r="S35" i="1"/>
  <c r="S36" i="1"/>
  <c r="S37" i="1"/>
  <c r="S38" i="1"/>
  <c r="S39" i="1"/>
  <c r="S40" i="1"/>
  <c r="S41" i="1"/>
  <c r="S42" i="1"/>
  <c r="P3" i="3"/>
  <c r="U32" i="1" l="1"/>
  <c r="T33" i="1"/>
  <c r="T34" i="1"/>
  <c r="T35" i="1"/>
  <c r="T36" i="1"/>
  <c r="T37" i="1"/>
  <c r="T38" i="1"/>
  <c r="T39" i="1"/>
  <c r="T40" i="1"/>
  <c r="T41" i="1"/>
  <c r="T42" i="1"/>
  <c r="Q3" i="3"/>
  <c r="V32" i="1" l="1"/>
  <c r="U33" i="1"/>
  <c r="U34" i="1"/>
  <c r="U35" i="1"/>
  <c r="U36" i="1"/>
  <c r="U37" i="1"/>
  <c r="U38" i="1"/>
  <c r="U39" i="1"/>
  <c r="U40" i="1"/>
  <c r="U41" i="1"/>
  <c r="U42" i="1"/>
  <c r="R3" i="3"/>
  <c r="W32" i="1" l="1"/>
  <c r="V33" i="1"/>
  <c r="V34" i="1"/>
  <c r="V35" i="1"/>
  <c r="V36" i="1"/>
  <c r="V37" i="1"/>
  <c r="V38" i="1"/>
  <c r="V39" i="1"/>
  <c r="V40" i="1"/>
  <c r="V41" i="1"/>
  <c r="V42" i="1"/>
  <c r="S3" i="3"/>
  <c r="X32" i="1" l="1"/>
  <c r="W33" i="1"/>
  <c r="W34" i="1"/>
  <c r="W35" i="1"/>
  <c r="W36" i="1"/>
  <c r="W37" i="1"/>
  <c r="W38" i="1"/>
  <c r="W39" i="1"/>
  <c r="W40" i="1"/>
  <c r="W41" i="1"/>
  <c r="W42" i="1"/>
  <c r="T3" i="3"/>
  <c r="Y32" i="1" l="1"/>
  <c r="X33" i="1"/>
  <c r="X34" i="1"/>
  <c r="X35" i="1"/>
  <c r="X36" i="1"/>
  <c r="X37" i="1"/>
  <c r="X38" i="1"/>
  <c r="X39" i="1"/>
  <c r="X40" i="1"/>
  <c r="X41" i="1"/>
  <c r="X42" i="1"/>
  <c r="Z32" i="1" l="1"/>
  <c r="Y33" i="1"/>
  <c r="Y34" i="1"/>
  <c r="Y35" i="1"/>
  <c r="Y36" i="1"/>
  <c r="Y37" i="1"/>
  <c r="Y38" i="1"/>
  <c r="Y39" i="1"/>
  <c r="Y40" i="1"/>
  <c r="Y41" i="1"/>
  <c r="Y42" i="1"/>
  <c r="Z33" i="1" l="1"/>
  <c r="Z34" i="1"/>
  <c r="Z35" i="1"/>
  <c r="Z36" i="1"/>
  <c r="Z37" i="1"/>
  <c r="Z38" i="1"/>
  <c r="Z39" i="1"/>
  <c r="Z40" i="1"/>
  <c r="Z41" i="1"/>
  <c r="Z42" i="1"/>
  <c r="C24" i="1" l="1"/>
  <c r="C25" i="1"/>
</calcChain>
</file>

<file path=xl/sharedStrings.xml><?xml version="1.0" encoding="utf-8"?>
<sst xmlns="http://schemas.openxmlformats.org/spreadsheetml/2006/main" count="67" uniqueCount="53">
  <si>
    <t>FIXED PARAMETERS</t>
  </si>
  <si>
    <t>Value</t>
  </si>
  <si>
    <t>Description</t>
  </si>
  <si>
    <t>INPUTS</t>
  </si>
  <si>
    <t>Min</t>
  </si>
  <si>
    <t>Max</t>
  </si>
  <si>
    <t>Default</t>
  </si>
  <si>
    <t>Step</t>
  </si>
  <si>
    <t>Experiment Value</t>
  </si>
  <si>
    <t>Hours per day</t>
  </si>
  <si>
    <t>Operating hours</t>
  </si>
  <si>
    <t>Staff Count</t>
  </si>
  <si>
    <t>Fixed overhead</t>
  </si>
  <si>
    <t>Daily fixed costs</t>
  </si>
  <si>
    <t>Price</t>
  </si>
  <si>
    <t>Max customers per staff hour</t>
  </si>
  <si>
    <t>Service capacity per staff member</t>
  </si>
  <si>
    <t>Wages</t>
  </si>
  <si>
    <t>dollars per hour</t>
  </si>
  <si>
    <t>Base demand</t>
  </si>
  <si>
    <t>Maximum potential customers at optimal price</t>
  </si>
  <si>
    <t>Optimal price</t>
  </si>
  <si>
    <t>Price point for maximum demand</t>
  </si>
  <si>
    <t>Demand decay factor</t>
  </si>
  <si>
    <t>Controls how quickly demand drops as price deviates from optimal</t>
  </si>
  <si>
    <t xml:space="preserve">METRICS </t>
  </si>
  <si>
    <t>VALUES</t>
  </si>
  <si>
    <t>FORMULAE</t>
  </si>
  <si>
    <t xml:space="preserve">Service Capacity </t>
  </si>
  <si>
    <t>Staff × Max customers per hour × Hours</t>
  </si>
  <si>
    <t>Potential Demand</t>
  </si>
  <si>
    <t>Base demand × exp(-decay × abs(price - optimal)) × random(0.9,1.1)</t>
  </si>
  <si>
    <t>Actual Customers</t>
  </si>
  <si>
    <t>MIN(Potential Demand, Service Capacity)</t>
  </si>
  <si>
    <t>Staff × Hourly Wage × Hours</t>
  </si>
  <si>
    <t>Labour Input</t>
  </si>
  <si>
    <t>Staff*Hours</t>
  </si>
  <si>
    <t>Total Cost</t>
  </si>
  <si>
    <t>Daily Wages + Fixed Overhead</t>
  </si>
  <si>
    <t>Revenue</t>
  </si>
  <si>
    <t>Actual customers*Item price</t>
  </si>
  <si>
    <t>Profit</t>
  </si>
  <si>
    <t>Revenue-total costs</t>
  </si>
  <si>
    <t>Single Factor Prod</t>
  </si>
  <si>
    <t>Actual customers/Labour Input</t>
  </si>
  <si>
    <t>Multi Factor Prod</t>
  </si>
  <si>
    <t>revenue/total costs</t>
  </si>
  <si>
    <t>max profit</t>
  </si>
  <si>
    <t>min profit</t>
  </si>
  <si>
    <t>Demand</t>
  </si>
  <si>
    <t>Staff Numbers</t>
  </si>
  <si>
    <t>Staff</t>
  </si>
  <si>
    <t>Price=$10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</si>
</sst>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5" formatCode="_([$$-409]* #,##0_);_([$$-409]* \(#,##0\);_([$$-409]* &quot;-&quot;??_);_(@_)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164" fontId="1" fillId="0" borderId="0" xfId="0" applyNumberFormat="1" applyFont="1"/>
    <xf numFmtId="0" fontId="0" fillId="0" borderId="0" xfId="0" applyAlignment="1">
      <alignment wrapText="1"/>
    </xf>
    <xf numFmtId="0" fontId="1" fillId="2" borderId="0" xfId="0" applyFont="1" applyFill="1"/>
    <xf numFmtId="0" fontId="0" fillId="2" borderId="0" xfId="0" applyFill="1"/>
    <xf numFmtId="164" fontId="0" fillId="2" borderId="0" xfId="0" applyNumberFormat="1" applyFill="1"/>
    <xf numFmtId="165" fontId="0" fillId="0" borderId="0" xfId="0" applyNumberFormat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2" fillId="4" borderId="0" xfId="0" applyFont="1" applyFill="1"/>
    <xf numFmtId="164" fontId="0" fillId="4" borderId="0" xfId="0" applyNumberForma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vs. Demand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'Base Data'!$F$30</c:f>
              <c:strCache>
                <c:ptCount val="1"/>
                <c:pt idx="0">
                  <c:v>Demand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'Base Data'!$E$31:$E$48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'Base Data'!$F$31:$F$48</c:f>
              <c:numCache>
                <c:formatCode>General</c:formatCode>
                <c:ptCount val="18"/>
                <c:pt idx="0">
                  <c:v>201</c:v>
                </c:pt>
                <c:pt idx="1">
                  <c:v>222</c:v>
                </c:pt>
                <c:pt idx="2">
                  <c:v>245</c:v>
                </c:pt>
                <c:pt idx="3">
                  <c:v>271</c:v>
                </c:pt>
                <c:pt idx="4">
                  <c:v>300</c:v>
                </c:pt>
                <c:pt idx="5">
                  <c:v>271</c:v>
                </c:pt>
                <c:pt idx="6">
                  <c:v>245</c:v>
                </c:pt>
                <c:pt idx="7">
                  <c:v>222</c:v>
                </c:pt>
                <c:pt idx="8">
                  <c:v>201</c:v>
                </c:pt>
                <c:pt idx="9">
                  <c:v>181</c:v>
                </c:pt>
                <c:pt idx="10">
                  <c:v>164</c:v>
                </c:pt>
                <c:pt idx="11">
                  <c:v>148</c:v>
                </c:pt>
                <c:pt idx="12">
                  <c:v>134</c:v>
                </c:pt>
                <c:pt idx="13">
                  <c:v>121</c:v>
                </c:pt>
                <c:pt idx="14">
                  <c:v>110</c:v>
                </c:pt>
                <c:pt idx="15">
                  <c:v>99</c:v>
                </c:pt>
                <c:pt idx="16">
                  <c:v>90</c:v>
                </c:pt>
                <c:pt idx="17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AC-40C3-8B8E-46585EA6C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3705992"/>
        <c:axId val="553708040"/>
      </c:lineChart>
      <c:catAx>
        <c:axId val="553705992"/>
        <c:scaling>
          <c:orientation val="minMax"/>
        </c:scaling>
        <c:delete val="0"/>
        <c:axPos val="b"/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708040"/>
        <c:crosses val="autoZero"/>
        <c:auto val="1"/>
        <c:lblAlgn val="ctr"/>
        <c:lblOffset val="100"/>
        <c:noMultiLvlLbl val="0"/>
      </c:catAx>
      <c:valAx>
        <c:axId val="553708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705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view3D>
      <c:rotX val="25"/>
      <c:rotY val="150"/>
      <c:rAngAx val="0"/>
      <c:perspective val="4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v>1</c:v>
          </c:tx>
          <c:spPr>
            <a:gradFill rotWithShape="1">
              <a:gsLst>
                <a:gs pos="0">
                  <a:schemeClr val="accent1">
                    <a:tint val="43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tint val="43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tint val="43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tint val="43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tint val="43000"/>
                  <a:shade val="95000"/>
                </a:schemeClr>
              </a:contourClr>
            </a:sp3d>
          </c:spPr>
          <c:cat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'Single Factor Prod Surface'!$C$4:$T$4</c:f>
              <c:numCache>
                <c:formatCode>General</c:formatCode>
                <c:ptCount val="18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11</c:v>
                </c:pt>
                <c:pt idx="1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2-D640-ABB2-F6D88E251FB7}"/>
            </c:ext>
          </c:extLst>
        </c:ser>
        <c:ser>
          <c:idx val="1"/>
          <c:order val="1"/>
          <c:tx>
            <c:v>2</c:v>
          </c:tx>
          <c:spPr>
            <a:gradFill rotWithShape="1">
              <a:gsLst>
                <a:gs pos="0">
                  <a:schemeClr val="accent1">
                    <a:tint val="56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tint val="56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tint val="56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tint val="56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tint val="56000"/>
                  <a:shade val="95000"/>
                </a:schemeClr>
              </a:contourClr>
            </a:sp3d>
          </c:spPr>
          <c:cat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'Single Factor Prod Surface'!$C$5:$T$5</c:f>
              <c:numCache>
                <c:formatCode>General</c:formatCode>
                <c:ptCount val="18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  <c:pt idx="11">
                  <c:v>9</c:v>
                </c:pt>
                <c:pt idx="12">
                  <c:v>8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E2-D640-ABB2-F6D88E251FB7}"/>
            </c:ext>
          </c:extLst>
        </c:ser>
        <c:ser>
          <c:idx val="2"/>
          <c:order val="2"/>
          <c:tx>
            <c:v>3</c:v>
          </c:tx>
          <c:spPr>
            <a:gradFill rotWithShape="1">
              <a:gsLst>
                <a:gs pos="0">
                  <a:schemeClr val="accent1">
                    <a:tint val="69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tint val="69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tint val="69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tint val="69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tint val="69000"/>
                  <a:shade val="95000"/>
                </a:schemeClr>
              </a:contourClr>
            </a:sp3d>
          </c:spPr>
          <c:cat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'Single Factor Prod Surface'!$C$6:$T$6</c:f>
              <c:numCache>
                <c:formatCode>General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E2-D640-ABB2-F6D88E251FB7}"/>
            </c:ext>
          </c:extLst>
        </c:ser>
        <c:ser>
          <c:idx val="3"/>
          <c:order val="3"/>
          <c:tx>
            <c:v>4</c:v>
          </c:tx>
          <c:spPr>
            <a:gradFill rotWithShape="1">
              <a:gsLst>
                <a:gs pos="0">
                  <a:schemeClr val="accent1">
                    <a:tint val="81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tint val="81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tint val="81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tint val="81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tint val="81000"/>
                  <a:shade val="95000"/>
                </a:schemeClr>
              </a:contourClr>
            </a:sp3d>
          </c:spPr>
          <c:cat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'Single Factor Prod Surface'!$C$7:$T$7</c:f>
              <c:numCache>
                <c:formatCode>General</c:formatCode>
                <c:ptCount val="18"/>
                <c:pt idx="0">
                  <c:v>6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E2-D640-ABB2-F6D88E251FB7}"/>
            </c:ext>
          </c:extLst>
        </c:ser>
        <c:ser>
          <c:idx val="4"/>
          <c:order val="4"/>
          <c:tx>
            <c:v>5</c:v>
          </c:tx>
          <c:spPr>
            <a:gradFill rotWithShape="1">
              <a:gsLst>
                <a:gs pos="0">
                  <a:schemeClr val="accent1">
                    <a:tint val="94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tint val="94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tint val="94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tint val="94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tint val="94000"/>
                  <a:shade val="95000"/>
                </a:schemeClr>
              </a:contourClr>
            </a:sp3d>
          </c:spPr>
          <c:cat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'Single Factor Prod Surface'!$C$8:$T$8</c:f>
              <c:numCache>
                <c:formatCode>General</c:formatCode>
                <c:ptCount val="18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E2-D640-ABB2-F6D88E251FB7}"/>
            </c:ext>
          </c:extLst>
        </c:ser>
        <c:ser>
          <c:idx val="5"/>
          <c:order val="5"/>
          <c:tx>
            <c:v>6</c:v>
          </c:tx>
          <c:spPr>
            <a:gradFill rotWithShape="1">
              <a:gsLst>
                <a:gs pos="0">
                  <a:schemeClr val="accent1">
                    <a:shade val="93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shade val="93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shade val="93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3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3000"/>
                  <a:shade val="95000"/>
                </a:schemeClr>
              </a:contourClr>
            </a:sp3d>
          </c:spPr>
          <c:cat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'Single Factor Prod Surface'!$C$9:$T$9</c:f>
              <c:numCache>
                <c:formatCode>General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E2-D640-ABB2-F6D88E251FB7}"/>
            </c:ext>
          </c:extLst>
        </c:ser>
        <c:ser>
          <c:idx val="6"/>
          <c:order val="6"/>
          <c:tx>
            <c:v>7</c:v>
          </c:tx>
          <c:spPr>
            <a:gradFill rotWithShape="1">
              <a:gsLst>
                <a:gs pos="0">
                  <a:schemeClr val="accent1">
                    <a:shade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shade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shade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80000"/>
                  <a:shade val="95000"/>
                </a:schemeClr>
              </a:contourClr>
            </a:sp3d>
          </c:spPr>
          <c:cat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'Single Factor Prod Surface'!$C$10:$T$10</c:f>
              <c:numCache>
                <c:formatCode>General</c:formatCode>
                <c:ptCount val="18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E2-D640-ABB2-F6D88E251FB7}"/>
            </c:ext>
          </c:extLst>
        </c:ser>
        <c:ser>
          <c:idx val="7"/>
          <c:order val="7"/>
          <c:tx>
            <c:v>8</c:v>
          </c:tx>
          <c:spPr>
            <a:gradFill rotWithShape="1">
              <a:gsLst>
                <a:gs pos="0">
                  <a:schemeClr val="accent1">
                    <a:shade val="68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shade val="68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shade val="68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68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68000"/>
                  <a:shade val="95000"/>
                </a:schemeClr>
              </a:contourClr>
            </a:sp3d>
          </c:spPr>
          <c:cat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'Single Factor Prod Surface'!$C$11:$T$11</c:f>
              <c:numCache>
                <c:formatCode>General</c:formatCode>
                <c:ptCount val="1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7E2-D640-ABB2-F6D88E251FB7}"/>
            </c:ext>
          </c:extLst>
        </c:ser>
        <c:ser>
          <c:idx val="8"/>
          <c:order val="8"/>
          <c:tx>
            <c:v>9</c:v>
          </c:tx>
          <c:spPr>
            <a:gradFill rotWithShape="1">
              <a:gsLst>
                <a:gs pos="0">
                  <a:schemeClr val="accent1">
                    <a:shade val="55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shade val="55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shade val="55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55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55000"/>
                  <a:shade val="95000"/>
                </a:schemeClr>
              </a:contourClr>
            </a:sp3d>
          </c:spPr>
          <c:cat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'Single Factor Prod Surface'!$C$12:$T$12</c:f>
              <c:numCache>
                <c:formatCode>General</c:formatCode>
                <c:ptCount val="18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1AA-460A-96C8-C6D9BA299479}"/>
            </c:ext>
          </c:extLst>
        </c:ser>
        <c:ser>
          <c:idx val="9"/>
          <c:order val="9"/>
          <c:tx>
            <c:v>10</c:v>
          </c:tx>
          <c:spPr>
            <a:gradFill rotWithShape="1">
              <a:gsLst>
                <a:gs pos="0">
                  <a:schemeClr val="accent1">
                    <a:shade val="42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shade val="42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shade val="42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42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42000"/>
                  <a:shade val="95000"/>
                </a:schemeClr>
              </a:contourClr>
            </a:sp3d>
          </c:spPr>
          <c:cat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'Single Factor Prod Surface'!$C$13:$T$13</c:f>
              <c:numCache>
                <c:formatCode>General</c:formatCode>
                <c:ptCount val="18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1AA-460A-96C8-C6D9BA299479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tint val="48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tint val="48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tint val="48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tint val="48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tint val="48000"/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1">
                      <a:tint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tint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tint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tint val="65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tint val="65000"/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1">
                      <a:tint val="83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tint val="83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tint val="83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tint val="83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tint val="83000"/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1">
                      <a:shade val="82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shade val="82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shade val="82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82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82000"/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1">
                      <a:shade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shade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shade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65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65000"/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shade val="4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shade val="4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shade val="4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47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47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1">
                      <a:shade val="4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shade val="4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shade val="4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47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47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1">
                      <a:shade val="4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shade val="4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shade val="4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47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47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1">
                      <a:shade val="4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shade val="4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shade val="4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47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47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1">
                      <a:shade val="4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shade val="4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shade val="4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47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47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1">
                      <a:shade val="4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shade val="4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shade val="4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47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47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shade val="4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shade val="4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shade val="4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47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47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1">
                      <a:shade val="4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shade val="4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shade val="4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47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47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1">
                      <a:shade val="4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shade val="4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shade val="4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47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47000"/>
                    <a:shade val="95000"/>
                  </a:schemeClr>
                </a:contourClr>
              </a:sp3d>
            </c:spPr>
          </c:bandFmt>
        </c:bandFmts>
        <c:axId val="2015060384"/>
        <c:axId val="759654080"/>
        <c:axId val="703651008"/>
      </c:surface3DChart>
      <c:catAx>
        <c:axId val="2015060384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Price</a:t>
                </a:r>
              </a:p>
            </c:rich>
          </c:tx>
          <c:layout>
            <c:manualLayout>
              <c:xMode val="edge"/>
              <c:yMode val="edge"/>
              <c:x val="0.62036471634293677"/>
              <c:y val="0.7895126752448626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_([$$-409]* #,##0_);_([$$-409]* \(#,##0\);_([$$-409]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54080"/>
        <c:crossesAt val="0"/>
        <c:auto val="1"/>
        <c:lblAlgn val="ctr"/>
        <c:lblOffset val="100"/>
        <c:noMultiLvlLbl val="0"/>
      </c:catAx>
      <c:valAx>
        <c:axId val="759654080"/>
        <c:scaling>
          <c:orientation val="minMax"/>
          <c:max val="1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Single Factor</a:t>
                </a:r>
                <a:r>
                  <a:rPr lang="en-GB" baseline="0"/>
                  <a:t> Productivity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2119256047592421"/>
              <c:y val="0.1187219128096792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060384"/>
        <c:crosses val="autoZero"/>
        <c:crossBetween val="midCat"/>
        <c:majorUnit val="2"/>
      </c:valAx>
      <c:serAx>
        <c:axId val="703651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Staff</a:t>
                </a:r>
              </a:p>
            </c:rich>
          </c:tx>
          <c:layout>
            <c:manualLayout>
              <c:xMode val="edge"/>
              <c:yMode val="edge"/>
              <c:x val="0.22638453429642599"/>
              <c:y val="0.8280801485180205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54080"/>
        <c:crossesAt val="0"/>
        <c:tickLblSkip val="1"/>
      </c:ser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4221187427241"/>
          <c:y val="0.15697426541194545"/>
          <c:w val="4.3939464493597209E-2"/>
          <c:h val="0.2500412905703860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view3D>
      <c:rotX val="25"/>
      <c:rotY val="150"/>
      <c:rAngAx val="0"/>
      <c:perspective val="4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v>1</c:v>
          </c:tx>
          <c:spPr>
            <a:gradFill rotWithShape="1">
              <a:gsLst>
                <a:gs pos="0">
                  <a:schemeClr val="accent5">
                    <a:shade val="42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42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4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cat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'Single Factor Prod Surface'!$C$4:$T$4</c:f>
              <c:numCache>
                <c:formatCode>General</c:formatCode>
                <c:ptCount val="18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11</c:v>
                </c:pt>
                <c:pt idx="1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08-DB4F-A076-98BDCA589BC6}"/>
            </c:ext>
          </c:extLst>
        </c:ser>
        <c:ser>
          <c:idx val="1"/>
          <c:order val="1"/>
          <c:tx>
            <c:v>2</c:v>
          </c:tx>
          <c:spPr>
            <a:gradFill rotWithShape="1">
              <a:gsLst>
                <a:gs pos="0">
                  <a:schemeClr val="accent5">
                    <a:shade val="55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55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5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cat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'Single Factor Prod Surface'!$C$5:$T$5</c:f>
              <c:numCache>
                <c:formatCode>General</c:formatCode>
                <c:ptCount val="18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  <c:pt idx="11">
                  <c:v>9</c:v>
                </c:pt>
                <c:pt idx="12">
                  <c:v>8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08-DB4F-A076-98BDCA589BC6}"/>
            </c:ext>
          </c:extLst>
        </c:ser>
        <c:ser>
          <c:idx val="2"/>
          <c:order val="2"/>
          <c:tx>
            <c:v>3</c:v>
          </c:tx>
          <c:spPr>
            <a:gradFill rotWithShape="1">
              <a:gsLst>
                <a:gs pos="0">
                  <a:schemeClr val="accent5">
                    <a:shade val="68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68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6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cat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'Single Factor Prod Surface'!$C$6:$T$6</c:f>
              <c:numCache>
                <c:formatCode>General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08-DB4F-A076-98BDCA589BC6}"/>
            </c:ext>
          </c:extLst>
        </c:ser>
        <c:ser>
          <c:idx val="3"/>
          <c:order val="3"/>
          <c:tx>
            <c:v>4</c:v>
          </c:tx>
          <c:spPr>
            <a:gradFill rotWithShape="1">
              <a:gsLst>
                <a:gs pos="0">
                  <a:schemeClr val="accent5">
                    <a:shade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cat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'Single Factor Prod Surface'!$C$7:$T$7</c:f>
              <c:numCache>
                <c:formatCode>General</c:formatCode>
                <c:ptCount val="18"/>
                <c:pt idx="0">
                  <c:v>6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08-DB4F-A076-98BDCA589BC6}"/>
            </c:ext>
          </c:extLst>
        </c:ser>
        <c:ser>
          <c:idx val="4"/>
          <c:order val="4"/>
          <c:tx>
            <c:v>5</c:v>
          </c:tx>
          <c:spPr>
            <a:gradFill rotWithShape="1">
              <a:gsLst>
                <a:gs pos="0">
                  <a:schemeClr val="accent5">
                    <a:shade val="93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93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9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cat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'Single Factor Prod Surface'!$C$8:$T$8</c:f>
              <c:numCache>
                <c:formatCode>General</c:formatCode>
                <c:ptCount val="18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08-DB4F-A076-98BDCA589BC6}"/>
            </c:ext>
          </c:extLst>
        </c:ser>
        <c:ser>
          <c:idx val="5"/>
          <c:order val="5"/>
          <c:tx>
            <c:v>6</c:v>
          </c:tx>
          <c:spPr>
            <a:gradFill rotWithShape="1">
              <a:gsLst>
                <a:gs pos="0">
                  <a:schemeClr val="accent5">
                    <a:tint val="94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94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9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cat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'Single Factor Prod Surface'!$C$9:$T$9</c:f>
              <c:numCache>
                <c:formatCode>General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08-DB4F-A076-98BDCA589BC6}"/>
            </c:ext>
          </c:extLst>
        </c:ser>
        <c:ser>
          <c:idx val="6"/>
          <c:order val="6"/>
          <c:tx>
            <c:v>7</c:v>
          </c:tx>
          <c:spPr>
            <a:gradFill rotWithShape="1">
              <a:gsLst>
                <a:gs pos="0">
                  <a:schemeClr val="accent5">
                    <a:tint val="81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81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8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cat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'Single Factor Prod Surface'!$C$10:$T$10</c:f>
              <c:numCache>
                <c:formatCode>General</c:formatCode>
                <c:ptCount val="18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08-DB4F-A076-98BDCA589BC6}"/>
            </c:ext>
          </c:extLst>
        </c:ser>
        <c:ser>
          <c:idx val="7"/>
          <c:order val="7"/>
          <c:tx>
            <c:v>8</c:v>
          </c:tx>
          <c:spPr>
            <a:gradFill rotWithShape="1">
              <a:gsLst>
                <a:gs pos="0">
                  <a:schemeClr val="accent5">
                    <a:tint val="69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69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6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cat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'Single Factor Prod Surface'!$C$11:$T$11</c:f>
              <c:numCache>
                <c:formatCode>General</c:formatCode>
                <c:ptCount val="1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908-DB4F-A076-98BDCA589BC6}"/>
            </c:ext>
          </c:extLst>
        </c:ser>
        <c:ser>
          <c:idx val="8"/>
          <c:order val="8"/>
          <c:tx>
            <c:v>9</c:v>
          </c:tx>
          <c:spPr>
            <a:gradFill rotWithShape="1">
              <a:gsLst>
                <a:gs pos="0">
                  <a:schemeClr val="accent5">
                    <a:tint val="5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5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5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cat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'Single Factor Prod Surface'!$C$12:$T$12</c:f>
              <c:numCache>
                <c:formatCode>General</c:formatCode>
                <c:ptCount val="18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908-DB4F-A076-98BDCA589BC6}"/>
            </c:ext>
          </c:extLst>
        </c:ser>
        <c:ser>
          <c:idx val="9"/>
          <c:order val="9"/>
          <c:tx>
            <c:v>10</c:v>
          </c:tx>
          <c:spPr>
            <a:gradFill rotWithShape="1">
              <a:gsLst>
                <a:gs pos="0">
                  <a:schemeClr val="accent5">
                    <a:tint val="43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43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4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/>
            <a:sp3d/>
          </c:spPr>
          <c:cat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'Single Factor Prod Surface'!$C$13:$T$13</c:f>
              <c:numCache>
                <c:formatCode>General</c:formatCode>
                <c:ptCount val="18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908-DB4F-A076-98BDCA589BC6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5">
                      <a:shade val="4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4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4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1"/>
            <c:spPr>
              <a:gradFill rotWithShape="1">
                <a:gsLst>
                  <a:gs pos="0">
                    <a:schemeClr val="accent5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2"/>
            <c:spPr>
              <a:gradFill rotWithShape="1">
                <a:gsLst>
                  <a:gs pos="0">
                    <a:schemeClr val="accent5">
                      <a:shade val="8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8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8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3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tint val="8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8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8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5"/>
            <c:spPr>
              <a:gradFill rotWithShape="1">
                <a:gsLst>
                  <a:gs pos="0">
                    <a:schemeClr val="accent5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6"/>
            <c:spPr>
              <a:gradFill rotWithShape="1">
                <a:gsLst>
                  <a:gs pos="0">
                    <a:schemeClr val="accent5">
                      <a:tint val="4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4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4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7"/>
            <c:spPr>
              <a:gradFill rotWithShape="1">
                <a:gsLst>
                  <a:gs pos="0">
                    <a:schemeClr val="accent5">
                      <a:tint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8"/>
            <c:spPr>
              <a:gradFill rotWithShape="1">
                <a:gsLst>
                  <a:gs pos="0">
                    <a:schemeClr val="accent5">
                      <a:tint val="1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1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1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9"/>
            <c:spPr>
              <a:gradFill rotWithShape="1">
                <a:gsLst>
                  <a:gs pos="0">
                    <a:schemeClr val="accent5">
                      <a:tint val="9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9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9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tint val="7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7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7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11"/>
            <c:spPr>
              <a:gradFill rotWithShape="1">
                <a:gsLst>
                  <a:gs pos="0">
                    <a:schemeClr val="accent5">
                      <a:tint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12"/>
            <c:spPr>
              <a:gradFill rotWithShape="1">
                <a:gsLst>
                  <a:gs pos="0">
                    <a:schemeClr val="accent5">
                      <a:tint val="4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4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4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13"/>
            <c:spPr>
              <a:gradFill rotWithShape="1">
                <a:gsLst>
                  <a:gs pos="0">
                    <a:schemeClr val="accent5">
                      <a:tint val="2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2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2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  <c:bandFmt>
            <c:idx val="14"/>
            <c:spPr>
              <a:gradFill rotWithShape="1">
                <a:gsLst>
                  <a:gs pos="0">
                    <a:schemeClr val="accent5">
                      <a:tint val="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/>
              <a:sp3d/>
            </c:spPr>
          </c:bandFmt>
        </c:bandFmts>
        <c:axId val="2015060384"/>
        <c:axId val="759654080"/>
        <c:axId val="703651008"/>
      </c:surface3DChart>
      <c:catAx>
        <c:axId val="2015060384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Price</a:t>
                </a:r>
              </a:p>
            </c:rich>
          </c:tx>
          <c:layout>
            <c:manualLayout>
              <c:xMode val="edge"/>
              <c:yMode val="edge"/>
              <c:x val="0.57193631122070165"/>
              <c:y val="0.7529273093912041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_([$$-409]* #,##0_);_([$$-409]* \(#,##0\);_([$$-409]* &quot;-&quot;_);_(@_)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54080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759654080"/>
        <c:scaling>
          <c:orientation val="minMax"/>
          <c:max val="12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Single Factor Productivity</a:t>
                </a:r>
              </a:p>
            </c:rich>
          </c:tx>
          <c:layout>
            <c:manualLayout>
              <c:xMode val="edge"/>
              <c:yMode val="edge"/>
              <c:x val="0.18957403316436436"/>
              <c:y val="8.6201587606427252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060384"/>
        <c:crosses val="autoZero"/>
        <c:crossBetween val="midCat"/>
        <c:majorUnit val="2"/>
      </c:valAx>
      <c:serAx>
        <c:axId val="703651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Number of Staff</a:t>
                </a:r>
              </a:p>
            </c:rich>
          </c:tx>
          <c:layout>
            <c:manualLayout>
              <c:xMode val="edge"/>
              <c:yMode val="edge"/>
              <c:x val="0.20868954011714774"/>
              <c:y val="0.72645413225785804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54080"/>
        <c:crossesAt val="0"/>
        <c:tickLblSkip val="2"/>
        <c:tickMarkSkip val="2"/>
      </c:ser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628172293364381"/>
          <c:y val="0.11075171243838422"/>
          <c:w val="5.8840512223515717E-2"/>
          <c:h val="0.28865917674924779"/>
        </c:manualLayout>
      </c:layout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44450" cap="rnd">
              <a:solidFill>
                <a:schemeClr val="accent5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44450" cap="rnd">
                <a:solidFill>
                  <a:schemeClr val="accent5">
                    <a:tint val="4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9D56-D343-8982-F54EF51A77B4}"/>
              </c:ext>
            </c:extLst>
          </c:dPt>
          <c:xVal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xVal>
          <c:yVal>
            <c:numRef>
              <c:f>'Single Factor Prod Surface'!$C$4:$T$4</c:f>
              <c:numCache>
                <c:formatCode>General</c:formatCode>
                <c:ptCount val="18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11</c:v>
                </c:pt>
                <c:pt idx="17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56-D343-8982-F54EF51A77B4}"/>
            </c:ext>
          </c:extLst>
        </c:ser>
        <c:ser>
          <c:idx val="1"/>
          <c:order val="1"/>
          <c:tx>
            <c:v>2</c:v>
          </c:tx>
          <c:spPr>
            <a:ln w="44450" cap="rnd">
              <a:solidFill>
                <a:schemeClr val="accent5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xVal>
          <c:yVal>
            <c:numRef>
              <c:f>'Single Factor Prod Surface'!$C$5:$T$5</c:f>
              <c:numCache>
                <c:formatCode>General</c:formatCode>
                <c:ptCount val="18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  <c:pt idx="11">
                  <c:v>9</c:v>
                </c:pt>
                <c:pt idx="12">
                  <c:v>8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56-D343-8982-F54EF51A77B4}"/>
            </c:ext>
          </c:extLst>
        </c:ser>
        <c:ser>
          <c:idx val="2"/>
          <c:order val="2"/>
          <c:tx>
            <c:v>3</c:v>
          </c:tx>
          <c:spPr>
            <a:ln w="44450" cap="rnd">
              <a:solidFill>
                <a:schemeClr val="accent5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xVal>
          <c:yVal>
            <c:numRef>
              <c:f>'Single Factor Prod Surface'!$C$6:$T$6</c:f>
              <c:numCache>
                <c:formatCode>General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56-D343-8982-F54EF51A77B4}"/>
            </c:ext>
          </c:extLst>
        </c:ser>
        <c:ser>
          <c:idx val="3"/>
          <c:order val="3"/>
          <c:tx>
            <c:v>4</c:v>
          </c:tx>
          <c:spPr>
            <a:ln w="44450" cap="rnd">
              <a:solidFill>
                <a:schemeClr val="accent5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xVal>
          <c:yVal>
            <c:numRef>
              <c:f>'Single Factor Prod Surface'!$C$7:$T$7</c:f>
              <c:numCache>
                <c:formatCode>General</c:formatCode>
                <c:ptCount val="18"/>
                <c:pt idx="0">
                  <c:v>6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56-D343-8982-F54EF51A77B4}"/>
            </c:ext>
          </c:extLst>
        </c:ser>
        <c:ser>
          <c:idx val="4"/>
          <c:order val="4"/>
          <c:tx>
            <c:v>5</c:v>
          </c:tx>
          <c:spPr>
            <a:ln w="44450" cap="rnd">
              <a:solidFill>
                <a:schemeClr val="accent5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xVal>
          <c:yVal>
            <c:numRef>
              <c:f>'Single Factor Prod Surface'!$C$8:$T$8</c:f>
              <c:numCache>
                <c:formatCode>General</c:formatCode>
                <c:ptCount val="18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D56-D343-8982-F54EF51A77B4}"/>
            </c:ext>
          </c:extLst>
        </c:ser>
        <c:ser>
          <c:idx val="5"/>
          <c:order val="5"/>
          <c:tx>
            <c:v>6</c:v>
          </c:tx>
          <c:spPr>
            <a:ln w="44450" cap="rnd">
              <a:solidFill>
                <a:schemeClr val="accent5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xVal>
          <c:yVal>
            <c:numRef>
              <c:f>'Single Factor Prod Surface'!$C$9:$T$9</c:f>
              <c:numCache>
                <c:formatCode>General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D56-D343-8982-F54EF51A77B4}"/>
            </c:ext>
          </c:extLst>
        </c:ser>
        <c:ser>
          <c:idx val="6"/>
          <c:order val="6"/>
          <c:tx>
            <c:v>7</c:v>
          </c:tx>
          <c:spPr>
            <a:ln w="44450" cap="rnd">
              <a:solidFill>
                <a:schemeClr val="accent5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xVal>
          <c:yVal>
            <c:numRef>
              <c:f>'Single Factor Prod Surface'!$C$10:$T$10</c:f>
              <c:numCache>
                <c:formatCode>General</c:formatCode>
                <c:ptCount val="18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D56-D343-8982-F54EF51A77B4}"/>
            </c:ext>
          </c:extLst>
        </c:ser>
        <c:ser>
          <c:idx val="7"/>
          <c:order val="7"/>
          <c:tx>
            <c:v>8</c:v>
          </c:tx>
          <c:spPr>
            <a:ln w="44450" cap="rnd">
              <a:solidFill>
                <a:schemeClr val="accent5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xVal>
          <c:yVal>
            <c:numRef>
              <c:f>'Single Factor Prod Surface'!$C$11:$T$11</c:f>
              <c:numCache>
                <c:formatCode>General</c:formatCode>
                <c:ptCount val="1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D56-D343-8982-F54EF51A77B4}"/>
            </c:ext>
          </c:extLst>
        </c:ser>
        <c:ser>
          <c:idx val="8"/>
          <c:order val="8"/>
          <c:tx>
            <c:v>9</c:v>
          </c:tx>
          <c:spPr>
            <a:ln w="44450" cap="rnd">
              <a:solidFill>
                <a:schemeClr val="accent5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xVal>
          <c:yVal>
            <c:numRef>
              <c:f>'Single Factor Prod Surface'!$C$12:$T$12</c:f>
              <c:numCache>
                <c:formatCode>General</c:formatCode>
                <c:ptCount val="18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D56-D343-8982-F54EF51A77B4}"/>
            </c:ext>
          </c:extLst>
        </c:ser>
        <c:ser>
          <c:idx val="9"/>
          <c:order val="9"/>
          <c:tx>
            <c:v>10</c:v>
          </c:tx>
          <c:spPr>
            <a:ln w="44450" cap="rnd">
              <a:solidFill>
                <a:schemeClr val="accent5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'Single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xVal>
          <c:yVal>
            <c:numRef>
              <c:f>'Single Factor Prod Surface'!$C$13:$T$13</c:f>
              <c:numCache>
                <c:formatCode>General</c:formatCode>
                <c:ptCount val="18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D56-D343-8982-F54EF51A7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060384"/>
        <c:axId val="759654080"/>
      </c:scatterChart>
      <c:valAx>
        <c:axId val="2015060384"/>
        <c:scaling>
          <c:orientation val="maxMin"/>
          <c:max val="25"/>
          <c:min val="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54080"/>
        <c:crossesAt val="0"/>
        <c:crossBetween val="midCat"/>
      </c:valAx>
      <c:valAx>
        <c:axId val="759654080"/>
        <c:scaling>
          <c:orientation val="minMax"/>
          <c:max val="12.5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Single Factor Productivity</a:t>
                </a:r>
              </a:p>
            </c:rich>
          </c:tx>
          <c:layout>
            <c:manualLayout>
              <c:xMode val="edge"/>
              <c:yMode val="edge"/>
              <c:x val="0.91855613048368956"/>
              <c:y val="0.359423159931544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060384"/>
        <c:crosses val="autoZero"/>
        <c:crossBetween val="midCat"/>
        <c:majorUnit val="2"/>
      </c:valAx>
      <c:spPr>
        <a:noFill/>
        <a:ln w="44450">
          <a:noFill/>
        </a:ln>
        <a:effectLst/>
      </c:spPr>
    </c:plotArea>
    <c:legend>
      <c:legendPos val="r"/>
      <c:layout>
        <c:manualLayout>
          <c:xMode val="edge"/>
          <c:yMode val="edge"/>
          <c:x val="0.13626936632920886"/>
          <c:y val="5.6790514890120943E-2"/>
          <c:w val="4.0152380952380953E-2"/>
          <c:h val="0.41613137320172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view3D>
      <c:rotX val="25"/>
      <c:rotY val="150"/>
      <c:rAngAx val="0"/>
      <c:perspective val="40"/>
    </c:view3D>
    <c:floor>
      <c:thickness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3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v>1</c:v>
          </c:tx>
          <c:spPr>
            <a:gradFill rotWithShape="1">
              <a:gsLst>
                <a:gs pos="0">
                  <a:schemeClr val="accent1">
                    <a:tint val="43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tint val="43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tint val="43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tint val="43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tint val="43000"/>
                  <a:shade val="95000"/>
                </a:schemeClr>
              </a:contourClr>
            </a:sp3d>
          </c:spPr>
          <c:cat>
            <c:numRef>
              <c:f>'Multi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'Multi Factor Prod Surface'!$C$4:$T$4</c:f>
              <c:numCache>
                <c:formatCode>0.00</c:formatCode>
                <c:ptCount val="18"/>
                <c:pt idx="0">
                  <c:v>0.3622641509433962</c:v>
                </c:pt>
                <c:pt idx="1">
                  <c:v>0.40754716981132078</c:v>
                </c:pt>
                <c:pt idx="2">
                  <c:v>0.45283018867924529</c:v>
                </c:pt>
                <c:pt idx="3">
                  <c:v>0.49811320754716981</c:v>
                </c:pt>
                <c:pt idx="4">
                  <c:v>0.54339622641509433</c:v>
                </c:pt>
                <c:pt idx="5">
                  <c:v>0.58867924528301885</c:v>
                </c:pt>
                <c:pt idx="6">
                  <c:v>0.63396226415094337</c:v>
                </c:pt>
                <c:pt idx="7">
                  <c:v>0.67924528301886788</c:v>
                </c:pt>
                <c:pt idx="8">
                  <c:v>0.7245283018867924</c:v>
                </c:pt>
                <c:pt idx="9">
                  <c:v>0.76981132075471703</c:v>
                </c:pt>
                <c:pt idx="10">
                  <c:v>0.81509433962264155</c:v>
                </c:pt>
                <c:pt idx="11">
                  <c:v>0.86037735849056607</c:v>
                </c:pt>
                <c:pt idx="12">
                  <c:v>0.90566037735849059</c:v>
                </c:pt>
                <c:pt idx="13">
                  <c:v>0.95094339622641511</c:v>
                </c:pt>
                <c:pt idx="14">
                  <c:v>0.99622641509433962</c:v>
                </c:pt>
                <c:pt idx="15">
                  <c:v>1.0415094339622641</c:v>
                </c:pt>
                <c:pt idx="16">
                  <c:v>1.0229237385697427</c:v>
                </c:pt>
                <c:pt idx="17">
                  <c:v>0.96414549422410112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C-2C42-91F5-8C5B42263B5F}"/>
            </c:ext>
          </c:extLst>
        </c:ser>
        <c:ser>
          <c:idx val="1"/>
          <c:order val="1"/>
          <c:tx>
            <c:v>2</c:v>
          </c:tx>
          <c:spPr>
            <a:gradFill rotWithShape="1">
              <a:gsLst>
                <a:gs pos="0">
                  <a:schemeClr val="accent1">
                    <a:tint val="56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tint val="56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tint val="56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tint val="56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tint val="56000"/>
                  <a:shade val="95000"/>
                </a:schemeClr>
              </a:contourClr>
            </a:sp3d>
          </c:spPr>
          <c:cat>
            <c:numRef>
              <c:f>'Multi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'Multi Factor Prod Surface'!$C$5:$T$5</c:f>
              <c:numCache>
                <c:formatCode>0.00</c:formatCode>
                <c:ptCount val="18"/>
                <c:pt idx="0">
                  <c:v>0.68571428571428572</c:v>
                </c:pt>
                <c:pt idx="1">
                  <c:v>0.77142857142857146</c:v>
                </c:pt>
                <c:pt idx="2">
                  <c:v>0.8571428571428571</c:v>
                </c:pt>
                <c:pt idx="3">
                  <c:v>0.94285714285714284</c:v>
                </c:pt>
                <c:pt idx="4">
                  <c:v>1.0285714285714285</c:v>
                </c:pt>
                <c:pt idx="5">
                  <c:v>1.1142857142857143</c:v>
                </c:pt>
                <c:pt idx="6">
                  <c:v>1.2</c:v>
                </c:pt>
                <c:pt idx="7">
                  <c:v>1.2857142857142858</c:v>
                </c:pt>
                <c:pt idx="8">
                  <c:v>1.3714285714285714</c:v>
                </c:pt>
                <c:pt idx="9">
                  <c:v>1.3809403413100136</c:v>
                </c:pt>
                <c:pt idx="10">
                  <c:v>1.3230280512980992</c:v>
                </c:pt>
                <c:pt idx="11">
                  <c:v>1.2636322462549259</c:v>
                </c:pt>
                <c:pt idx="12">
                  <c:v>1.2035597253139863</c:v>
                </c:pt>
                <c:pt idx="13">
                  <c:v>1.143477168020435</c:v>
                </c:pt>
                <c:pt idx="14">
                  <c:v>1.083930496308714</c:v>
                </c:pt>
                <c:pt idx="15">
                  <c:v>1.0253618203199772</c:v>
                </c:pt>
                <c:pt idx="16">
                  <c:v>0.96812425257493506</c:v>
                </c:pt>
                <c:pt idx="17">
                  <c:v>0.9124948427478099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2C-2C42-91F5-8C5B42263B5F}"/>
            </c:ext>
          </c:extLst>
        </c:ser>
        <c:ser>
          <c:idx val="2"/>
          <c:order val="2"/>
          <c:tx>
            <c:v>3</c:v>
          </c:tx>
          <c:spPr>
            <a:gradFill rotWithShape="1">
              <a:gsLst>
                <a:gs pos="0">
                  <a:schemeClr val="accent1">
                    <a:tint val="69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tint val="69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tint val="69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tint val="69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tint val="69000"/>
                  <a:shade val="95000"/>
                </a:schemeClr>
              </a:contourClr>
            </a:sp3d>
          </c:spPr>
          <c:cat>
            <c:numRef>
              <c:f>'Multi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'Multi Factor Prod Surface'!$C$6:$T$6</c:f>
              <c:numCache>
                <c:formatCode>0.00</c:formatCode>
                <c:ptCount val="18"/>
                <c:pt idx="0">
                  <c:v>0.68168140274810785</c:v>
                </c:pt>
                <c:pt idx="1">
                  <c:v>0.84754626942399935</c:v>
                </c:pt>
                <c:pt idx="2">
                  <c:v>1.0407594318787903</c:v>
                </c:pt>
                <c:pt idx="3">
                  <c:v>1.2652387625079096</c:v>
                </c:pt>
                <c:pt idx="4">
                  <c:v>1.464406779661017</c:v>
                </c:pt>
                <c:pt idx="5">
                  <c:v>1.4952821738729838</c:v>
                </c:pt>
                <c:pt idx="6">
                  <c:v>1.4570632046303067</c:v>
                </c:pt>
                <c:pt idx="7">
                  <c:v>1.4125771157066656</c:v>
                </c:pt>
                <c:pt idx="8">
                  <c:v>1.3633628054962157</c:v>
                </c:pt>
                <c:pt idx="9">
                  <c:v>1.310723035819674</c:v>
                </c:pt>
                <c:pt idx="10">
                  <c:v>1.2557554385202299</c:v>
                </c:pt>
                <c:pt idx="11">
                  <c:v>1.1993797591572177</c:v>
                </c:pt>
                <c:pt idx="12">
                  <c:v>1.1423617731793769</c:v>
                </c:pt>
                <c:pt idx="13">
                  <c:v>1.0853342611719383</c:v>
                </c:pt>
                <c:pt idx="14">
                  <c:v>1.0288153863269149</c:v>
                </c:pt>
                <c:pt idx="15">
                  <c:v>0.97322477860879197</c:v>
                </c:pt>
                <c:pt idx="16">
                  <c:v>0.91889759566434515</c:v>
                </c:pt>
                <c:pt idx="17">
                  <c:v>0.86609679989622634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2C-2C42-91F5-8C5B42263B5F}"/>
            </c:ext>
          </c:extLst>
        </c:ser>
        <c:ser>
          <c:idx val="3"/>
          <c:order val="3"/>
          <c:tx>
            <c:v>4</c:v>
          </c:tx>
          <c:spPr>
            <a:gradFill rotWithShape="1">
              <a:gsLst>
                <a:gs pos="0">
                  <a:schemeClr val="accent1">
                    <a:tint val="81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tint val="81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tint val="81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tint val="81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tint val="81000"/>
                  <a:shade val="95000"/>
                </a:schemeClr>
              </a:contourClr>
            </a:sp3d>
          </c:spPr>
          <c:cat>
            <c:numRef>
              <c:f>'Multi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'Multi Factor Prod Surface'!$C$7:$T$7</c:f>
              <c:numCache>
                <c:formatCode>0.00</c:formatCode>
                <c:ptCount val="18"/>
                <c:pt idx="0">
                  <c:v>0.64869681874416707</c:v>
                </c:pt>
                <c:pt idx="1">
                  <c:v>0.80653596606477351</c:v>
                </c:pt>
                <c:pt idx="2">
                  <c:v>0.99040010452981664</c:v>
                </c:pt>
                <c:pt idx="3">
                  <c:v>1.2040175320639785</c:v>
                </c:pt>
                <c:pt idx="4">
                  <c:v>1.4516129032258065</c:v>
                </c:pt>
                <c:pt idx="5">
                  <c:v>1.4229298106210653</c:v>
                </c:pt>
                <c:pt idx="6">
                  <c:v>1.3865601463417434</c:v>
                </c:pt>
                <c:pt idx="7">
                  <c:v>1.3442266101079559</c:v>
                </c:pt>
                <c:pt idx="8">
                  <c:v>1.2973936374883341</c:v>
                </c:pt>
                <c:pt idx="9">
                  <c:v>1.2473009534413027</c:v>
                </c:pt>
                <c:pt idx="10">
                  <c:v>1.1949930785918317</c:v>
                </c:pt>
                <c:pt idx="11">
                  <c:v>1.1413452546818685</c:v>
                </c:pt>
                <c:pt idx="12">
                  <c:v>1.0870862035094069</c:v>
                </c:pt>
                <c:pt idx="13">
                  <c:v>1.0328180872442638</c:v>
                </c:pt>
                <c:pt idx="14">
                  <c:v>0.97903399666593527</c:v>
                </c:pt>
                <c:pt idx="15">
                  <c:v>0.92613325706320526</c:v>
                </c:pt>
                <c:pt idx="16">
                  <c:v>0.87443480877736068</c:v>
                </c:pt>
                <c:pt idx="17">
                  <c:v>0.82418889022382835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2C-2C42-91F5-8C5B42263B5F}"/>
            </c:ext>
          </c:extLst>
        </c:ser>
        <c:ser>
          <c:idx val="4"/>
          <c:order val="4"/>
          <c:tx>
            <c:v>5</c:v>
          </c:tx>
          <c:spPr>
            <a:gradFill rotWithShape="1">
              <a:gsLst>
                <a:gs pos="0">
                  <a:schemeClr val="accent1">
                    <a:tint val="94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tint val="94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tint val="94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tint val="94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tint val="94000"/>
                  <a:shade val="95000"/>
                </a:schemeClr>
              </a:contourClr>
            </a:sp3d>
          </c:spPr>
          <c:cat>
            <c:numRef>
              <c:f>'Multi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'Multi Factor Prod Surface'!$C$8:$T$8</c:f>
              <c:numCache>
                <c:formatCode>0.00</c:formatCode>
                <c:ptCount val="18"/>
                <c:pt idx="0">
                  <c:v>0.6187569655713594</c:v>
                </c:pt>
                <c:pt idx="1">
                  <c:v>0.76931122916947625</c:v>
                </c:pt>
                <c:pt idx="2">
                  <c:v>0.94468933047459425</c:v>
                </c:pt>
                <c:pt idx="3">
                  <c:v>1.148447492122564</c:v>
                </c:pt>
                <c:pt idx="4">
                  <c:v>1.3846153846153846</c:v>
                </c:pt>
                <c:pt idx="5">
                  <c:v>1.3572561270539392</c:v>
                </c:pt>
                <c:pt idx="6">
                  <c:v>1.3225650626644323</c:v>
                </c:pt>
                <c:pt idx="7">
                  <c:v>1.2821853819491271</c:v>
                </c:pt>
                <c:pt idx="8">
                  <c:v>1.2375139311427188</c:v>
                </c:pt>
                <c:pt idx="9">
                  <c:v>1.189733217128627</c:v>
                </c:pt>
                <c:pt idx="10">
                  <c:v>1.1398395518875932</c:v>
                </c:pt>
                <c:pt idx="11">
                  <c:v>1.0886677813888592</c:v>
                </c:pt>
                <c:pt idx="12">
                  <c:v>1.036912994116665</c:v>
                </c:pt>
                <c:pt idx="13">
                  <c:v>0.98514956014068245</c:v>
                </c:pt>
                <c:pt idx="14">
                  <c:v>0.93384781220443058</c:v>
                </c:pt>
                <c:pt idx="15">
                  <c:v>0.8833886451987496</c:v>
                </c:pt>
                <c:pt idx="16">
                  <c:v>0.83407627914148252</c:v>
                </c:pt>
                <c:pt idx="17">
                  <c:v>0.78614940298272862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2C-2C42-91F5-8C5B42263B5F}"/>
            </c:ext>
          </c:extLst>
        </c:ser>
        <c:ser>
          <c:idx val="5"/>
          <c:order val="5"/>
          <c:tx>
            <c:v>6</c:v>
          </c:tx>
          <c:spPr>
            <a:gradFill rotWithShape="1">
              <a:gsLst>
                <a:gs pos="0">
                  <a:schemeClr val="accent1">
                    <a:shade val="93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shade val="93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shade val="93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3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3000"/>
                  <a:shade val="95000"/>
                </a:schemeClr>
              </a:contourClr>
            </a:sp3d>
          </c:spPr>
          <c:cat>
            <c:numRef>
              <c:f>'Multi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'Multi Factor Prod Surface'!$C$9:$T$9</c:f>
              <c:numCache>
                <c:formatCode>0.00</c:formatCode>
                <c:ptCount val="18"/>
                <c:pt idx="0">
                  <c:v>0.59145886414909354</c:v>
                </c:pt>
                <c:pt idx="1">
                  <c:v>0.73537102788258768</c:v>
                </c:pt>
                <c:pt idx="2">
                  <c:v>0.90301186001247979</c:v>
                </c:pt>
                <c:pt idx="3">
                  <c:v>1.0977806909995098</c:v>
                </c:pt>
                <c:pt idx="4">
                  <c:v>1.3235294117647058</c:v>
                </c:pt>
                <c:pt idx="5">
                  <c:v>1.2973771802721477</c:v>
                </c:pt>
                <c:pt idx="6">
                  <c:v>1.264216604017472</c:v>
                </c:pt>
                <c:pt idx="7">
                  <c:v>1.2256183798043128</c:v>
                </c:pt>
                <c:pt idx="8">
                  <c:v>1.1829177282981871</c:v>
                </c:pt>
                <c:pt idx="9">
                  <c:v>1.1372449869611876</c:v>
                </c:pt>
                <c:pt idx="10">
                  <c:v>1.0895525128337289</c:v>
                </c:pt>
                <c:pt idx="11">
                  <c:v>1.0406383204452332</c:v>
                </c:pt>
                <c:pt idx="12">
                  <c:v>0.99116683261151817</c:v>
                </c:pt>
                <c:pt idx="13">
                  <c:v>0.94168707954624054</c:v>
                </c:pt>
                <c:pt idx="14">
                  <c:v>0.89264864401894095</c:v>
                </c:pt>
                <c:pt idx="15">
                  <c:v>0.84441561673409893</c:v>
                </c:pt>
                <c:pt idx="16">
                  <c:v>0.79727879623818176</c:v>
                </c:pt>
                <c:pt idx="17">
                  <c:v>0.75146634108643173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2C-2C42-91F5-8C5B42263B5F}"/>
            </c:ext>
          </c:extLst>
        </c:ser>
        <c:ser>
          <c:idx val="6"/>
          <c:order val="6"/>
          <c:tx>
            <c:v>7</c:v>
          </c:tx>
          <c:spPr>
            <a:gradFill rotWithShape="1">
              <a:gsLst>
                <a:gs pos="0">
                  <a:schemeClr val="accent1">
                    <a:shade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shade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shade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80000"/>
                  <a:shade val="95000"/>
                </a:schemeClr>
              </a:contourClr>
            </a:sp3d>
          </c:spPr>
          <c:cat>
            <c:numRef>
              <c:f>'Multi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'Multi Factor Prod Surface'!$C$10:$T$10</c:f>
              <c:numCache>
                <c:formatCode>0.00</c:formatCode>
                <c:ptCount val="18"/>
                <c:pt idx="0">
                  <c:v>0.56646764453716003</c:v>
                </c:pt>
                <c:pt idx="1">
                  <c:v>0.7042990126199431</c:v>
                </c:pt>
                <c:pt idx="2">
                  <c:v>0.86485642930772721</c:v>
                </c:pt>
                <c:pt idx="3">
                  <c:v>1.0513955913798121</c:v>
                </c:pt>
                <c:pt idx="4">
                  <c:v>1.267605633802817</c:v>
                </c:pt>
                <c:pt idx="5">
                  <c:v>1.2425584261761415</c:v>
                </c:pt>
                <c:pt idx="6">
                  <c:v>1.2107990010308183</c:v>
                </c:pt>
                <c:pt idx="7">
                  <c:v>1.1738316876999051</c:v>
                </c:pt>
                <c:pt idx="8">
                  <c:v>1.1329352890743201</c:v>
                </c:pt>
                <c:pt idx="9">
                  <c:v>1.0891923818783207</c:v>
                </c:pt>
                <c:pt idx="10">
                  <c:v>1.0435150827139938</c:v>
                </c:pt>
                <c:pt idx="11">
                  <c:v>0.99666768718698384</c:v>
                </c:pt>
                <c:pt idx="12">
                  <c:v>0.94928654390962297</c:v>
                </c:pt>
                <c:pt idx="13">
                  <c:v>0.90189748463583597</c:v>
                </c:pt>
                <c:pt idx="14">
                  <c:v>0.8549310956801125</c:v>
                </c:pt>
                <c:pt idx="15">
                  <c:v>0.80873608363265803</c:v>
                </c:pt>
                <c:pt idx="16">
                  <c:v>0.76359095977741354</c:v>
                </c:pt>
                <c:pt idx="17">
                  <c:v>0.71971424216728674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2C-2C42-91F5-8C5B42263B5F}"/>
            </c:ext>
          </c:extLst>
        </c:ser>
        <c:ser>
          <c:idx val="7"/>
          <c:order val="7"/>
          <c:tx>
            <c:v>8</c:v>
          </c:tx>
          <c:spPr>
            <a:gradFill rotWithShape="1">
              <a:gsLst>
                <a:gs pos="0">
                  <a:schemeClr val="accent1">
                    <a:shade val="68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shade val="68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shade val="68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68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68000"/>
                  <a:shade val="95000"/>
                </a:schemeClr>
              </a:contourClr>
            </a:sp3d>
          </c:spPr>
          <c:cat>
            <c:numRef>
              <c:f>'Multi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'Multi Factor Prod Surface'!$C$11:$T$11</c:f>
              <c:numCache>
                <c:formatCode>0.00</c:formatCode>
                <c:ptCount val="18"/>
                <c:pt idx="0">
                  <c:v>0.54350274002889676</c:v>
                </c:pt>
                <c:pt idx="1">
                  <c:v>0.67574634994616156</c:v>
                </c:pt>
                <c:pt idx="2">
                  <c:v>0.82979468217363017</c:v>
                </c:pt>
                <c:pt idx="3">
                  <c:v>1.0087714457833332</c:v>
                </c:pt>
                <c:pt idx="4">
                  <c:v>1.2162162162162162</c:v>
                </c:pt>
                <c:pt idx="5">
                  <c:v>1.1921844359257574</c:v>
                </c:pt>
                <c:pt idx="6">
                  <c:v>1.1617125550430822</c:v>
                </c:pt>
                <c:pt idx="7">
                  <c:v>1.126243916576936</c:v>
                </c:pt>
                <c:pt idx="8">
                  <c:v>1.0870054800577935</c:v>
                </c:pt>
                <c:pt idx="9">
                  <c:v>1.0450359339643347</c:v>
                </c:pt>
                <c:pt idx="10">
                  <c:v>1.0012104171985616</c:v>
                </c:pt>
                <c:pt idx="11">
                  <c:v>0.9562622404091331</c:v>
                </c:pt>
                <c:pt idx="12">
                  <c:v>0.91080195429166533</c:v>
                </c:pt>
                <c:pt idx="13">
                  <c:v>0.86533407309654531</c:v>
                </c:pt>
                <c:pt idx="14">
                  <c:v>0.82027172693632411</c:v>
                </c:pt>
                <c:pt idx="15">
                  <c:v>0.77594948564755029</c:v>
                </c:pt>
                <c:pt idx="16">
                  <c:v>0.73263456951616701</c:v>
                </c:pt>
                <c:pt idx="17">
                  <c:v>0.69053663775509944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2C-2C42-91F5-8C5B42263B5F}"/>
            </c:ext>
          </c:extLst>
        </c:ser>
        <c:ser>
          <c:idx val="8"/>
          <c:order val="8"/>
          <c:tx>
            <c:v>9</c:v>
          </c:tx>
          <c:spPr>
            <a:gradFill rotWithShape="1">
              <a:gsLst>
                <a:gs pos="0">
                  <a:schemeClr val="accent1">
                    <a:shade val="55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shade val="55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shade val="55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55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55000"/>
                  <a:shade val="95000"/>
                </a:schemeClr>
              </a:contourClr>
            </a:sp3d>
          </c:spPr>
          <c:cat>
            <c:numRef>
              <c:f>'Multi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'Multi Factor Prod Surface'!$C$12:$T$12</c:f>
              <c:numCache>
                <c:formatCode>0.00</c:formatCode>
                <c:ptCount val="18"/>
                <c:pt idx="0">
                  <c:v>0.52232730859919951</c:v>
                </c:pt>
                <c:pt idx="1">
                  <c:v>0.64941857007812931</c:v>
                </c:pt>
                <c:pt idx="2">
                  <c:v>0.79746501923180035</c:v>
                </c:pt>
                <c:pt idx="3">
                  <c:v>0.96946866218138528</c:v>
                </c:pt>
                <c:pt idx="4">
                  <c:v>1.1688311688311688</c:v>
                </c:pt>
                <c:pt idx="5">
                  <c:v>1.1457356916689097</c:v>
                </c:pt>
                <c:pt idx="6">
                  <c:v>1.1164510269245207</c:v>
                </c:pt>
                <c:pt idx="7">
                  <c:v>1.082364283463549</c:v>
                </c:pt>
                <c:pt idx="8">
                  <c:v>1.044654617198399</c:v>
                </c:pt>
                <c:pt idx="9">
                  <c:v>1.0043202482254645</c:v>
                </c:pt>
                <c:pt idx="10">
                  <c:v>0.96220221912589043</c:v>
                </c:pt>
                <c:pt idx="11">
                  <c:v>0.91900527000358245</c:v>
                </c:pt>
                <c:pt idx="12">
                  <c:v>0.87531616386471733</c:v>
                </c:pt>
                <c:pt idx="13">
                  <c:v>0.83161975856031634</c:v>
                </c:pt>
                <c:pt idx="14">
                  <c:v>0.78831308822451929</c:v>
                </c:pt>
                <c:pt idx="15">
                  <c:v>0.74571768750543799</c:v>
                </c:pt>
                <c:pt idx="16">
                  <c:v>0.70409036550904369</c:v>
                </c:pt>
                <c:pt idx="17">
                  <c:v>0.6636326129074982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2C-2C42-91F5-8C5B42263B5F}"/>
            </c:ext>
          </c:extLst>
        </c:ser>
        <c:ser>
          <c:idx val="9"/>
          <c:order val="9"/>
          <c:tx>
            <c:v>10</c:v>
          </c:tx>
          <c:spPr>
            <a:gradFill rotWithShape="1">
              <a:gsLst>
                <a:gs pos="0">
                  <a:schemeClr val="accent1">
                    <a:shade val="42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shade val="42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shade val="42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42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42000"/>
                  <a:shade val="95000"/>
                </a:schemeClr>
              </a:contourClr>
            </a:sp3d>
          </c:spPr>
          <c:cat>
            <c:numRef>
              <c:f>'Multi Factor Prod Surface'!$C$3:$T$3</c:f>
              <c:numCache>
                <c:formatCode>_([$$-409]* #,##0.00_);_([$$-409]* \(#,##0.00\);_([$$-409]* "-"??_);_(@_)</c:formatCode>
                <c:ptCount val="1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</c:numCache>
            </c:numRef>
          </c:cat>
          <c:val>
            <c:numRef>
              <c:f>'Multi Factor Prod Surface'!$C$13:$T$13</c:f>
              <c:numCache>
                <c:formatCode>0.00</c:formatCode>
                <c:ptCount val="18"/>
                <c:pt idx="0">
                  <c:v>0.50274003452672955</c:v>
                </c:pt>
                <c:pt idx="1">
                  <c:v>0.62506537370019943</c:v>
                </c:pt>
                <c:pt idx="2">
                  <c:v>0.76756008101060791</c:v>
                </c:pt>
                <c:pt idx="3">
                  <c:v>0.93311358734958327</c:v>
                </c:pt>
                <c:pt idx="4">
                  <c:v>1.125</c:v>
                </c:pt>
                <c:pt idx="5">
                  <c:v>1.1027706032313256</c:v>
                </c:pt>
                <c:pt idx="6">
                  <c:v>1.0745841134148513</c:v>
                </c:pt>
                <c:pt idx="7">
                  <c:v>1.0417756228336659</c:v>
                </c:pt>
                <c:pt idx="8">
                  <c:v>1.0054800690534591</c:v>
                </c:pt>
                <c:pt idx="9">
                  <c:v>0.96665823891700953</c:v>
                </c:pt>
                <c:pt idx="10">
                  <c:v>0.92611963590866953</c:v>
                </c:pt>
                <c:pt idx="11">
                  <c:v>0.88454257237844813</c:v>
                </c:pt>
                <c:pt idx="12">
                  <c:v>0.84249180771979038</c:v>
                </c:pt>
                <c:pt idx="13">
                  <c:v>0.80043401761430444</c:v>
                </c:pt>
                <c:pt idx="14">
                  <c:v>0.75875134741609984</c:v>
                </c:pt>
                <c:pt idx="15">
                  <c:v>0.71775327422398405</c:v>
                </c:pt>
                <c:pt idx="16">
                  <c:v>0.67768697680245449</c:v>
                </c:pt>
                <c:pt idx="17">
                  <c:v>0.638746389923467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B2C-2C42-91F5-8C5B42263B5F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tint val="41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tint val="41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tint val="41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tint val="41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tint val="41000"/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1">
                      <a:tint val="52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tint val="52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tint val="52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tint val="52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tint val="52000"/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1">
                      <a:tint val="63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tint val="63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tint val="63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tint val="63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tint val="63000"/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1">
                      <a:tint val="74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tint val="74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tint val="74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tint val="74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tint val="74000"/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1">
                      <a:tint val="84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tint val="84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tint val="84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tint val="84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tint val="84000"/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1">
                      <a:tint val="9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tint val="9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tint val="9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tint val="95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tint val="95000"/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shade val="94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shade val="94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shade val="94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4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4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1">
                      <a:shade val="83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shade val="83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shade val="83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83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83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1">
                      <a:shade val="73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shade val="73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shade val="73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73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73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1">
                      <a:shade val="62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shade val="62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shade val="62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62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62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1">
                      <a:shade val="51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shade val="51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shade val="51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51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51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1">
                      <a:shade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shade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shade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4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4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shade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shade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shade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4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4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1">
                      <a:shade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shade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shade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4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4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1">
                      <a:shade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shade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shade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4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40000"/>
                    <a:shade val="95000"/>
                  </a:schemeClr>
                </a:contourClr>
              </a:sp3d>
            </c:spPr>
          </c:bandFmt>
        </c:bandFmts>
        <c:axId val="2015060384"/>
        <c:axId val="759654080"/>
        <c:axId val="703651008"/>
      </c:surface3DChart>
      <c:catAx>
        <c:axId val="2015060384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Price</a:t>
                </a:r>
              </a:p>
            </c:rich>
          </c:tx>
          <c:layout>
            <c:manualLayout>
              <c:xMode val="edge"/>
              <c:yMode val="edge"/>
              <c:x val="0.62036471634293677"/>
              <c:y val="0.7895126752448626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_([$$-409]* #,##0_);_([$$-409]* \(#,##0\);_([$$-409]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54080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759654080"/>
        <c:scaling>
          <c:orientation val="minMax"/>
          <c:max val="1.5"/>
          <c:min val="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/>
                    </a:solidFill>
                  </a:rPr>
                  <a:t>Multi Factor</a:t>
                </a:r>
                <a:r>
                  <a:rPr lang="en-GB" sz="1600" baseline="0">
                    <a:solidFill>
                      <a:schemeClr val="tx1"/>
                    </a:solidFill>
                  </a:rPr>
                  <a:t> Productivity</a:t>
                </a:r>
                <a:endParaRPr lang="en-GB" sz="16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21378823572548192"/>
              <c:y val="4.961622175276871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060384"/>
        <c:crosses val="autoZero"/>
        <c:crossBetween val="midCat"/>
        <c:majorUnit val="0.2"/>
      </c:valAx>
      <c:serAx>
        <c:axId val="703651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Number of Staff</a:t>
                </a:r>
              </a:p>
            </c:rich>
          </c:tx>
          <c:layout>
            <c:manualLayout>
              <c:xMode val="edge"/>
              <c:yMode val="edge"/>
              <c:x val="0.22824716526266581"/>
              <c:y val="0.7305191729082644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54080"/>
        <c:crosses val="autoZero"/>
        <c:tickLblSkip val="2"/>
        <c:tickMarkSkip val="2"/>
      </c:serAx>
    </c:plotArea>
    <c:legend>
      <c:legendPos val="r"/>
      <c:layout>
        <c:manualLayout>
          <c:xMode val="edge"/>
          <c:yMode val="edge"/>
          <c:x val="0.77608381839348084"/>
          <c:y val="0.1041287369566609"/>
          <c:w val="6.1085055869762497E-2"/>
          <c:h val="0.2500412905703860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638175</xdr:colOff>
      <xdr:row>5</xdr:row>
      <xdr:rowOff>104775</xdr:rowOff>
    </xdr:from>
    <xdr:to>
      <xdr:col>13</xdr:col>
      <xdr:colOff>428625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71086F-7BB5-B068-1D88-0D6BC8D11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76200</xdr:rowOff>
    </xdr:from>
    <xdr:to>
      <xdr:col>19</xdr:col>
      <xdr:colOff>250825</xdr:colOff>
      <xdr:row>47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7F037A-5519-22FF-784F-0D24BBFE5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584200</xdr:colOff>
      <xdr:row>16</xdr:row>
      <xdr:rowOff>63500</xdr:rowOff>
    </xdr:from>
    <xdr:to>
      <xdr:col>29</xdr:col>
      <xdr:colOff>85725</xdr:colOff>
      <xdr:row>49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268D8D-4BA1-7243-8AF4-BB14ABCEB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</xdr:colOff>
      <xdr:row>52</xdr:row>
      <xdr:rowOff>0</xdr:rowOff>
    </xdr:from>
    <xdr:to>
      <xdr:col>22</xdr:col>
      <xdr:colOff>546101</xdr:colOff>
      <xdr:row>84</xdr:row>
      <xdr:rowOff>161471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C3B434-D08E-3846-AB33-E91D7F5F5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63500</xdr:colOff>
      <xdr:row>13</xdr:row>
      <xdr:rowOff>139700</xdr:rowOff>
    </xdr:from>
    <xdr:to>
      <xdr:col>22</xdr:col>
      <xdr:colOff>238125</xdr:colOff>
      <xdr:row>46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095CAF-ABC1-0848-B6BD-743EE2684D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Z48"/>
  <sheetViews>
    <sheetView zoomScale="140" zoomScaleNormal="140" workbookViewId="0">
      <selection activeCell="C22" sqref="C22"/>
    </sheetView>
  </sheetViews>
  <sheetFormatPr defaultColWidth="8.85546875" defaultRowHeight="15"/>
  <cols>
    <col min="2" max="2" width="25.42578125" bestFit="1" customWidth="1"/>
    <col min="3" max="3" width="11.28515625" bestFit="1" customWidth="1"/>
    <col min="4" max="4" width="58.85546875" bestFit="1" customWidth="1"/>
    <col min="5" max="5" width="10.7109375" bestFit="1" customWidth="1"/>
    <col min="8" max="8" width="10.42578125" bestFit="1" customWidth="1"/>
    <col min="11" max="11" width="13.7109375" bestFit="1" customWidth="1"/>
    <col min="12" max="12" width="15.85546875" bestFit="1" customWidth="1"/>
    <col min="13" max="13" width="8.42578125" customWidth="1"/>
  </cols>
  <sheetData>
    <row r="3" spans="2:11">
      <c r="B3" s="11" t="s">
        <v>0</v>
      </c>
      <c r="C3" s="11" t="s">
        <v>1</v>
      </c>
      <c r="D3" s="11" t="s">
        <v>2</v>
      </c>
      <c r="F3" s="7" t="s">
        <v>3</v>
      </c>
      <c r="G3" s="7" t="s">
        <v>4</v>
      </c>
      <c r="H3" s="7" t="s">
        <v>5</v>
      </c>
      <c r="I3" s="7" t="s">
        <v>6</v>
      </c>
      <c r="J3" s="7" t="s">
        <v>7</v>
      </c>
      <c r="K3" s="8" t="s">
        <v>8</v>
      </c>
    </row>
    <row r="4" spans="2:11">
      <c r="B4" s="12" t="s">
        <v>9</v>
      </c>
      <c r="C4" s="12">
        <v>8</v>
      </c>
      <c r="D4" s="12" t="s">
        <v>10</v>
      </c>
      <c r="F4" s="8" t="s">
        <v>11</v>
      </c>
      <c r="G4" s="8">
        <v>1</v>
      </c>
      <c r="H4" s="8">
        <v>10</v>
      </c>
      <c r="I4" s="8">
        <v>3</v>
      </c>
      <c r="J4" s="8">
        <v>1</v>
      </c>
      <c r="K4" s="8">
        <v>4</v>
      </c>
    </row>
    <row r="5" spans="2:11">
      <c r="B5" s="12" t="s">
        <v>12</v>
      </c>
      <c r="C5" s="12">
        <v>2000</v>
      </c>
      <c r="D5" s="12" t="s">
        <v>13</v>
      </c>
      <c r="F5" s="8" t="s">
        <v>14</v>
      </c>
      <c r="G5" s="8">
        <v>8</v>
      </c>
      <c r="H5" s="8">
        <v>25</v>
      </c>
      <c r="I5" s="8">
        <v>8</v>
      </c>
      <c r="J5" s="8">
        <v>1</v>
      </c>
      <c r="K5" s="9">
        <v>12</v>
      </c>
    </row>
    <row r="6" spans="2:11">
      <c r="B6" s="12" t="s">
        <v>15</v>
      </c>
      <c r="C6" s="12">
        <v>12</v>
      </c>
      <c r="D6" s="12" t="s">
        <v>16</v>
      </c>
    </row>
    <row r="7" spans="2:11">
      <c r="B7" s="12" t="s">
        <v>17</v>
      </c>
      <c r="C7" s="12">
        <v>15</v>
      </c>
      <c r="D7" s="12" t="s">
        <v>18</v>
      </c>
    </row>
    <row r="8" spans="2:11">
      <c r="B8" s="12" t="s">
        <v>19</v>
      </c>
      <c r="C8" s="12">
        <v>300</v>
      </c>
      <c r="D8" s="12" t="s">
        <v>20</v>
      </c>
    </row>
    <row r="9" spans="2:11">
      <c r="B9" s="12" t="s">
        <v>21</v>
      </c>
      <c r="C9" s="12">
        <v>12</v>
      </c>
      <c r="D9" s="12" t="s">
        <v>22</v>
      </c>
    </row>
    <row r="10" spans="2:11">
      <c r="B10" s="12" t="s">
        <v>23</v>
      </c>
      <c r="C10" s="12">
        <v>0.1</v>
      </c>
      <c r="D10" s="12" t="s">
        <v>24</v>
      </c>
    </row>
    <row r="13" spans="2:11">
      <c r="B13" s="13" t="s">
        <v>25</v>
      </c>
      <c r="C13" s="13" t="s">
        <v>26</v>
      </c>
      <c r="D13" s="14" t="s">
        <v>27</v>
      </c>
    </row>
    <row r="14" spans="2:11">
      <c r="B14" s="13" t="s">
        <v>28</v>
      </c>
      <c r="C14" s="13">
        <f>K4*C6*C4</f>
        <v>384</v>
      </c>
      <c r="D14" s="14" t="s">
        <v>29</v>
      </c>
    </row>
    <row r="15" spans="2:11">
      <c r="B15" s="13" t="s">
        <v>30</v>
      </c>
      <c r="C15" s="13">
        <f ca="1">INT(C8*EXP(-C10*ABS(K5-C9))*RANDBETWEEN(0.95,1.05))</f>
        <v>300</v>
      </c>
      <c r="D15" s="14" t="s">
        <v>31</v>
      </c>
    </row>
    <row r="16" spans="2:11">
      <c r="B16" s="13" t="s">
        <v>32</v>
      </c>
      <c r="C16" s="13">
        <f ca="1">MIN(C15,C14)</f>
        <v>300</v>
      </c>
      <c r="D16" s="14" t="s">
        <v>33</v>
      </c>
    </row>
    <row r="17" spans="2:26">
      <c r="B17" s="13" t="s">
        <v>17</v>
      </c>
      <c r="C17" s="15">
        <f>K4*C7*C4</f>
        <v>480</v>
      </c>
      <c r="D17" s="13" t="s">
        <v>34</v>
      </c>
    </row>
    <row r="18" spans="2:26">
      <c r="B18" s="13" t="s">
        <v>35</v>
      </c>
      <c r="C18" s="13">
        <f>K4*C4</f>
        <v>32</v>
      </c>
      <c r="D18" s="13" t="s">
        <v>36</v>
      </c>
    </row>
    <row r="19" spans="2:26">
      <c r="B19" s="13" t="s">
        <v>37</v>
      </c>
      <c r="C19" s="15">
        <f>C17+C5</f>
        <v>2480</v>
      </c>
      <c r="D19" s="13" t="s">
        <v>38</v>
      </c>
    </row>
    <row r="20" spans="2:26">
      <c r="B20" s="13" t="s">
        <v>39</v>
      </c>
      <c r="C20" s="15">
        <f ca="1">C16*K5</f>
        <v>3600</v>
      </c>
      <c r="D20" s="13" t="s">
        <v>40</v>
      </c>
    </row>
    <row r="21" spans="2:26">
      <c r="B21" s="13" t="s">
        <v>41</v>
      </c>
      <c r="C21" s="15">
        <f ca="1">C20-C19</f>
        <v>1120</v>
      </c>
      <c r="D21" s="13" t="s">
        <v>42</v>
      </c>
    </row>
    <row r="22" spans="2:26">
      <c r="B22" s="13" t="s">
        <v>43</v>
      </c>
      <c r="C22" s="13" t="s">
        <v>43</v>
      </c>
      <c r="D22" s="13" t="s">
        <v>44</v>
      </c>
    </row>
    <row r="23" spans="2:26">
      <c r="B23" s="13" t="s">
        <v>45</v>
      </c>
      <c r="C23" s="15">
        <f ca="1">C20/C19</f>
        <v>1.4516129032258065</v>
      </c>
      <c r="D23" s="13" t="s">
        <v>46</v>
      </c>
    </row>
    <row r="24" spans="2:26">
      <c r="B24" s="16" t="s">
        <v>47</v>
      </c>
      <c r="C24" s="15">
        <f ca="1">MAX(I33:Z42)</f>
        <v>1568</v>
      </c>
      <c r="D24" s="13"/>
    </row>
    <row r="25" spans="2:26">
      <c r="B25" s="13" t="s">
        <v>48</v>
      </c>
      <c r="C25" s="15">
        <f ca="1">MIN(I33:Z42)</f>
        <v>-1240</v>
      </c>
      <c r="D25" s="13"/>
    </row>
    <row r="29" spans="2:26">
      <c r="B29" s="6"/>
    </row>
    <row r="30" spans="2:26">
      <c r="E30" t="s">
        <v>14</v>
      </c>
      <c r="F30" t="s">
        <v>49</v>
      </c>
      <c r="H30" t="s">
        <v>41</v>
      </c>
    </row>
    <row r="31" spans="2:26">
      <c r="E31" s="2">
        <v>8</v>
      </c>
      <c r="F31">
        <f t="shared" ref="F31:F48" ca="1" si="0">INT($C$8*EXP(-$C$10*ABS(E31-$C$9))*RANDBETWEEN(0.9,1.1))</f>
        <v>201</v>
      </c>
      <c r="I31" t="s">
        <v>14</v>
      </c>
    </row>
    <row r="32" spans="2:26">
      <c r="E32" s="2">
        <f t="shared" ref="E32:E48" si="1">E31+1</f>
        <v>9</v>
      </c>
      <c r="F32">
        <f t="shared" ca="1" si="0"/>
        <v>222</v>
      </c>
      <c r="H32" t="s">
        <v>50</v>
      </c>
      <c r="I32" s="5">
        <v>8</v>
      </c>
      <c r="J32" s="5">
        <f>I32+1</f>
        <v>9</v>
      </c>
      <c r="K32" s="5">
        <f t="shared" ref="K32:Z32" si="2">J32+1</f>
        <v>10</v>
      </c>
      <c r="L32" s="5">
        <f t="shared" si="2"/>
        <v>11</v>
      </c>
      <c r="M32" s="5">
        <f t="shared" si="2"/>
        <v>12</v>
      </c>
      <c r="N32" s="5">
        <f t="shared" si="2"/>
        <v>13</v>
      </c>
      <c r="O32" s="5">
        <f t="shared" si="2"/>
        <v>14</v>
      </c>
      <c r="P32" s="5">
        <f t="shared" si="2"/>
        <v>15</v>
      </c>
      <c r="Q32" s="5">
        <f t="shared" si="2"/>
        <v>16</v>
      </c>
      <c r="R32" s="5">
        <f t="shared" si="2"/>
        <v>17</v>
      </c>
      <c r="S32" s="5">
        <f t="shared" si="2"/>
        <v>18</v>
      </c>
      <c r="T32" s="5">
        <f t="shared" si="2"/>
        <v>19</v>
      </c>
      <c r="U32" s="5">
        <f t="shared" si="2"/>
        <v>20</v>
      </c>
      <c r="V32" s="5">
        <f t="shared" si="2"/>
        <v>21</v>
      </c>
      <c r="W32" s="5">
        <f t="shared" si="2"/>
        <v>22</v>
      </c>
      <c r="X32" s="5">
        <f t="shared" si="2"/>
        <v>23</v>
      </c>
      <c r="Y32" s="5">
        <f t="shared" si="2"/>
        <v>24</v>
      </c>
      <c r="Z32" s="5">
        <f t="shared" si="2"/>
        <v>25</v>
      </c>
    </row>
    <row r="33" spans="5:26">
      <c r="E33" s="2">
        <f t="shared" si="1"/>
        <v>10</v>
      </c>
      <c r="F33">
        <f t="shared" ca="1" si="0"/>
        <v>245</v>
      </c>
      <c r="H33" s="1">
        <v>1</v>
      </c>
      <c r="I33" s="10">
        <f t="shared" ref="I33:R42" ca="1" si="3">(MIN((INT($C$8*EXP(-$C$10*ABS(I$32-$C$9))*RANDBETWEEN(0.95,1.05))),($H33*$C$6*$C$4)))*I$32-(($H33*$C$4)+$C$5)</f>
        <v>-1240</v>
      </c>
      <c r="J33" s="10">
        <f t="shared" ca="1" si="3"/>
        <v>-1144</v>
      </c>
      <c r="K33" s="10">
        <f t="shared" ca="1" si="3"/>
        <v>-1048</v>
      </c>
      <c r="L33" s="10">
        <f t="shared" ca="1" si="3"/>
        <v>-952</v>
      </c>
      <c r="M33" s="10">
        <f t="shared" ca="1" si="3"/>
        <v>-856</v>
      </c>
      <c r="N33" s="10">
        <f t="shared" ca="1" si="3"/>
        <v>-760</v>
      </c>
      <c r="O33" s="10">
        <f t="shared" ca="1" si="3"/>
        <v>-664</v>
      </c>
      <c r="P33" s="10">
        <f t="shared" ca="1" si="3"/>
        <v>-568</v>
      </c>
      <c r="Q33" s="10">
        <f t="shared" ca="1" si="3"/>
        <v>-472</v>
      </c>
      <c r="R33" s="10">
        <f t="shared" ca="1" si="3"/>
        <v>-376</v>
      </c>
      <c r="S33" s="10">
        <f t="shared" ref="S33:Z42" ca="1" si="4">(MIN((INT($C$8*EXP(-$C$10*ABS(S$32-$C$9))*RANDBETWEEN(0.95,1.05))),($H33*$C$6*$C$4)))*S$32-(($H33*$C$4)+$C$5)</f>
        <v>-280</v>
      </c>
      <c r="T33" s="10">
        <f t="shared" ca="1" si="4"/>
        <v>-184</v>
      </c>
      <c r="U33" s="10">
        <f t="shared" ca="1" si="4"/>
        <v>-88</v>
      </c>
      <c r="V33" s="10">
        <f t="shared" ca="1" si="4"/>
        <v>8</v>
      </c>
      <c r="W33" s="10">
        <f t="shared" ca="1" si="4"/>
        <v>104</v>
      </c>
      <c r="X33" s="10">
        <f t="shared" ca="1" si="4"/>
        <v>200</v>
      </c>
      <c r="Y33" s="10">
        <f t="shared" ca="1" si="4"/>
        <v>152</v>
      </c>
      <c r="Z33" s="10">
        <f t="shared" ca="1" si="4"/>
        <v>17</v>
      </c>
    </row>
    <row r="34" spans="5:26">
      <c r="E34" s="2">
        <f t="shared" si="1"/>
        <v>11</v>
      </c>
      <c r="F34">
        <f t="shared" ca="1" si="0"/>
        <v>271</v>
      </c>
      <c r="H34" s="1">
        <f>H33+1</f>
        <v>2</v>
      </c>
      <c r="I34" s="10">
        <f t="shared" ca="1" si="3"/>
        <v>-480</v>
      </c>
      <c r="J34" s="10">
        <f t="shared" ca="1" si="3"/>
        <v>-288</v>
      </c>
      <c r="K34" s="10">
        <f t="shared" ca="1" si="3"/>
        <v>-96</v>
      </c>
      <c r="L34" s="10">
        <f t="shared" ca="1" si="3"/>
        <v>96</v>
      </c>
      <c r="M34" s="10">
        <f t="shared" ca="1" si="3"/>
        <v>288</v>
      </c>
      <c r="N34" s="10">
        <f t="shared" ca="1" si="3"/>
        <v>480</v>
      </c>
      <c r="O34" s="10">
        <f t="shared" ca="1" si="3"/>
        <v>672</v>
      </c>
      <c r="P34" s="10">
        <f t="shared" ca="1" si="3"/>
        <v>864</v>
      </c>
      <c r="Q34" s="10">
        <f t="shared" ca="1" si="3"/>
        <v>1056</v>
      </c>
      <c r="R34" s="10">
        <f t="shared" ca="1" si="3"/>
        <v>1061</v>
      </c>
      <c r="S34" s="10">
        <f t="shared" ca="1" si="4"/>
        <v>936</v>
      </c>
      <c r="T34" s="10">
        <f t="shared" ca="1" si="4"/>
        <v>796</v>
      </c>
      <c r="U34" s="10">
        <f t="shared" ca="1" si="4"/>
        <v>664</v>
      </c>
      <c r="V34" s="10">
        <f t="shared" ca="1" si="4"/>
        <v>525</v>
      </c>
      <c r="W34" s="10">
        <f t="shared" ca="1" si="4"/>
        <v>404</v>
      </c>
      <c r="X34" s="10">
        <f t="shared" ca="1" si="4"/>
        <v>261</v>
      </c>
      <c r="Y34" s="10">
        <f t="shared" ca="1" si="4"/>
        <v>144</v>
      </c>
      <c r="Z34" s="10">
        <f t="shared" ca="1" si="4"/>
        <v>9</v>
      </c>
    </row>
    <row r="35" spans="5:26">
      <c r="E35" s="2">
        <f t="shared" si="1"/>
        <v>12</v>
      </c>
      <c r="F35">
        <f t="shared" ca="1" si="0"/>
        <v>300</v>
      </c>
      <c r="H35" s="1">
        <f t="shared" ref="H35:H42" si="5">H34+1</f>
        <v>3</v>
      </c>
      <c r="I35" s="10">
        <f t="shared" ca="1" si="3"/>
        <v>-416</v>
      </c>
      <c r="J35" s="10">
        <f t="shared" ca="1" si="3"/>
        <v>-26</v>
      </c>
      <c r="K35" s="10">
        <f t="shared" ca="1" si="3"/>
        <v>426</v>
      </c>
      <c r="L35" s="10">
        <f t="shared" ca="1" si="3"/>
        <v>957</v>
      </c>
      <c r="M35" s="10">
        <f t="shared" ca="1" si="3"/>
        <v>1432</v>
      </c>
      <c r="N35" s="10">
        <f t="shared" ca="1" si="3"/>
        <v>1499</v>
      </c>
      <c r="O35" s="10">
        <f t="shared" ca="1" si="3"/>
        <v>1406</v>
      </c>
      <c r="P35" s="10">
        <f t="shared" ca="1" si="3"/>
        <v>1306</v>
      </c>
      <c r="Q35" s="10">
        <f t="shared" ca="1" si="3"/>
        <v>1192</v>
      </c>
      <c r="R35" s="10">
        <f t="shared" ca="1" si="3"/>
        <v>1053</v>
      </c>
      <c r="S35" s="10">
        <f t="shared" ca="1" si="4"/>
        <v>928</v>
      </c>
      <c r="T35" s="10">
        <f t="shared" ca="1" si="4"/>
        <v>788</v>
      </c>
      <c r="U35" s="10">
        <f t="shared" ca="1" si="4"/>
        <v>656</v>
      </c>
      <c r="V35" s="10">
        <f t="shared" ca="1" si="4"/>
        <v>517</v>
      </c>
      <c r="W35" s="10">
        <f t="shared" ca="1" si="4"/>
        <v>396</v>
      </c>
      <c r="X35" s="10">
        <f t="shared" ca="1" si="4"/>
        <v>253</v>
      </c>
      <c r="Y35" s="10">
        <f t="shared" ca="1" si="4"/>
        <v>136</v>
      </c>
      <c r="Z35" s="10">
        <f t="shared" ca="1" si="4"/>
        <v>1</v>
      </c>
    </row>
    <row r="36" spans="5:26">
      <c r="E36" s="2">
        <f t="shared" si="1"/>
        <v>13</v>
      </c>
      <c r="F36">
        <f t="shared" ca="1" si="0"/>
        <v>271</v>
      </c>
      <c r="H36" s="1">
        <f t="shared" si="5"/>
        <v>4</v>
      </c>
      <c r="I36" s="10">
        <f t="shared" ca="1" si="3"/>
        <v>-424</v>
      </c>
      <c r="J36" s="10">
        <f t="shared" ca="1" si="3"/>
        <v>-34</v>
      </c>
      <c r="K36" s="10">
        <f t="shared" ca="1" si="3"/>
        <v>418</v>
      </c>
      <c r="L36" s="10">
        <f t="shared" ca="1" si="3"/>
        <v>949</v>
      </c>
      <c r="M36" s="10">
        <f t="shared" ca="1" si="3"/>
        <v>1568</v>
      </c>
      <c r="N36" s="10">
        <f t="shared" ca="1" si="3"/>
        <v>1491</v>
      </c>
      <c r="O36" s="10">
        <f t="shared" ca="1" si="3"/>
        <v>1398</v>
      </c>
      <c r="P36" s="10">
        <f t="shared" ca="1" si="3"/>
        <v>1298</v>
      </c>
      <c r="Q36" s="10">
        <f t="shared" ca="1" si="3"/>
        <v>1184</v>
      </c>
      <c r="R36" s="10">
        <f t="shared" ca="1" si="3"/>
        <v>1045</v>
      </c>
      <c r="S36" s="10">
        <f t="shared" ca="1" si="4"/>
        <v>920</v>
      </c>
      <c r="T36" s="10">
        <f t="shared" ca="1" si="4"/>
        <v>780</v>
      </c>
      <c r="U36" s="10">
        <f t="shared" ca="1" si="4"/>
        <v>648</v>
      </c>
      <c r="V36" s="10">
        <f t="shared" ca="1" si="4"/>
        <v>509</v>
      </c>
      <c r="W36" s="10">
        <f t="shared" ca="1" si="4"/>
        <v>388</v>
      </c>
      <c r="X36" s="10">
        <f t="shared" ca="1" si="4"/>
        <v>245</v>
      </c>
      <c r="Y36" s="10">
        <f t="shared" ca="1" si="4"/>
        <v>128</v>
      </c>
      <c r="Z36" s="10">
        <f t="shared" ca="1" si="4"/>
        <v>-7</v>
      </c>
    </row>
    <row r="37" spans="5:26">
      <c r="E37" s="2">
        <f t="shared" si="1"/>
        <v>14</v>
      </c>
      <c r="F37">
        <f t="shared" ca="1" si="0"/>
        <v>245</v>
      </c>
      <c r="H37" s="1">
        <f t="shared" si="5"/>
        <v>5</v>
      </c>
      <c r="I37" s="10">
        <f t="shared" ca="1" si="3"/>
        <v>-432</v>
      </c>
      <c r="J37" s="10">
        <f t="shared" ca="1" si="3"/>
        <v>-42</v>
      </c>
      <c r="K37" s="10">
        <f t="shared" ca="1" si="3"/>
        <v>410</v>
      </c>
      <c r="L37" s="10">
        <f t="shared" ca="1" si="3"/>
        <v>941</v>
      </c>
      <c r="M37" s="10">
        <f t="shared" ca="1" si="3"/>
        <v>1560</v>
      </c>
      <c r="N37" s="10">
        <f t="shared" ca="1" si="3"/>
        <v>1483</v>
      </c>
      <c r="O37" s="10">
        <f t="shared" ca="1" si="3"/>
        <v>1390</v>
      </c>
      <c r="P37" s="10">
        <f t="shared" ca="1" si="3"/>
        <v>1290</v>
      </c>
      <c r="Q37" s="10">
        <f t="shared" ca="1" si="3"/>
        <v>1176</v>
      </c>
      <c r="R37" s="10">
        <f t="shared" ca="1" si="3"/>
        <v>1037</v>
      </c>
      <c r="S37" s="10">
        <f t="shared" ca="1" si="4"/>
        <v>912</v>
      </c>
      <c r="T37" s="10">
        <f t="shared" ca="1" si="4"/>
        <v>772</v>
      </c>
      <c r="U37" s="10">
        <f t="shared" ca="1" si="4"/>
        <v>640</v>
      </c>
      <c r="V37" s="10">
        <f t="shared" ca="1" si="4"/>
        <v>501</v>
      </c>
      <c r="W37" s="10">
        <f t="shared" ca="1" si="4"/>
        <v>380</v>
      </c>
      <c r="X37" s="10">
        <f t="shared" ca="1" si="4"/>
        <v>237</v>
      </c>
      <c r="Y37" s="10">
        <f t="shared" ca="1" si="4"/>
        <v>120</v>
      </c>
      <c r="Z37" s="10">
        <f t="shared" ca="1" si="4"/>
        <v>-15</v>
      </c>
    </row>
    <row r="38" spans="5:26">
      <c r="E38" s="2">
        <f t="shared" si="1"/>
        <v>15</v>
      </c>
      <c r="F38">
        <f t="shared" ca="1" si="0"/>
        <v>222</v>
      </c>
      <c r="H38" s="1">
        <f t="shared" si="5"/>
        <v>6</v>
      </c>
      <c r="I38" s="10">
        <f t="shared" ca="1" si="3"/>
        <v>-440</v>
      </c>
      <c r="J38" s="10">
        <f t="shared" ca="1" si="3"/>
        <v>-50</v>
      </c>
      <c r="K38" s="10">
        <f t="shared" ca="1" si="3"/>
        <v>402</v>
      </c>
      <c r="L38" s="10">
        <f t="shared" ca="1" si="3"/>
        <v>933</v>
      </c>
      <c r="M38" s="10">
        <f t="shared" ca="1" si="3"/>
        <v>1552</v>
      </c>
      <c r="N38" s="10">
        <f t="shared" ca="1" si="3"/>
        <v>1475</v>
      </c>
      <c r="O38" s="10">
        <f t="shared" ca="1" si="3"/>
        <v>1382</v>
      </c>
      <c r="P38" s="10">
        <f t="shared" ca="1" si="3"/>
        <v>1282</v>
      </c>
      <c r="Q38" s="10">
        <f t="shared" ca="1" si="3"/>
        <v>1168</v>
      </c>
      <c r="R38" s="10">
        <f t="shared" ca="1" si="3"/>
        <v>1029</v>
      </c>
      <c r="S38" s="10">
        <f t="shared" ca="1" si="4"/>
        <v>904</v>
      </c>
      <c r="T38" s="10">
        <f t="shared" ca="1" si="4"/>
        <v>764</v>
      </c>
      <c r="U38" s="10">
        <f t="shared" ca="1" si="4"/>
        <v>632</v>
      </c>
      <c r="V38" s="10">
        <f t="shared" ca="1" si="4"/>
        <v>493</v>
      </c>
      <c r="W38" s="10">
        <f t="shared" ca="1" si="4"/>
        <v>372</v>
      </c>
      <c r="X38" s="10">
        <f t="shared" ca="1" si="4"/>
        <v>229</v>
      </c>
      <c r="Y38" s="10">
        <f t="shared" ca="1" si="4"/>
        <v>112</v>
      </c>
      <c r="Z38" s="10">
        <f t="shared" ca="1" si="4"/>
        <v>-23</v>
      </c>
    </row>
    <row r="39" spans="5:26">
      <c r="E39" s="2">
        <f t="shared" si="1"/>
        <v>16</v>
      </c>
      <c r="F39">
        <f t="shared" ca="1" si="0"/>
        <v>201</v>
      </c>
      <c r="H39" s="1">
        <f t="shared" si="5"/>
        <v>7</v>
      </c>
      <c r="I39" s="10">
        <f t="shared" ca="1" si="3"/>
        <v>-448</v>
      </c>
      <c r="J39" s="10">
        <f t="shared" ca="1" si="3"/>
        <v>-58</v>
      </c>
      <c r="K39" s="10">
        <f t="shared" ca="1" si="3"/>
        <v>394</v>
      </c>
      <c r="L39" s="10">
        <f t="shared" ca="1" si="3"/>
        <v>925</v>
      </c>
      <c r="M39" s="10">
        <f t="shared" ca="1" si="3"/>
        <v>1544</v>
      </c>
      <c r="N39" s="10">
        <f t="shared" ca="1" si="3"/>
        <v>1467</v>
      </c>
      <c r="O39" s="10">
        <f t="shared" ca="1" si="3"/>
        <v>1374</v>
      </c>
      <c r="P39" s="10">
        <f t="shared" ca="1" si="3"/>
        <v>1274</v>
      </c>
      <c r="Q39" s="10">
        <f t="shared" ca="1" si="3"/>
        <v>1160</v>
      </c>
      <c r="R39" s="10">
        <f t="shared" ca="1" si="3"/>
        <v>1021</v>
      </c>
      <c r="S39" s="10">
        <f t="shared" ca="1" si="4"/>
        <v>896</v>
      </c>
      <c r="T39" s="10">
        <f t="shared" ca="1" si="4"/>
        <v>756</v>
      </c>
      <c r="U39" s="10">
        <f t="shared" ca="1" si="4"/>
        <v>624</v>
      </c>
      <c r="V39" s="10">
        <f t="shared" ca="1" si="4"/>
        <v>485</v>
      </c>
      <c r="W39" s="10">
        <f t="shared" ca="1" si="4"/>
        <v>364</v>
      </c>
      <c r="X39" s="10">
        <f t="shared" ca="1" si="4"/>
        <v>221</v>
      </c>
      <c r="Y39" s="10">
        <f t="shared" ca="1" si="4"/>
        <v>104</v>
      </c>
      <c r="Z39" s="10">
        <f t="shared" ca="1" si="4"/>
        <v>-31</v>
      </c>
    </row>
    <row r="40" spans="5:26">
      <c r="E40" s="2">
        <f t="shared" si="1"/>
        <v>17</v>
      </c>
      <c r="F40">
        <f t="shared" ca="1" si="0"/>
        <v>181</v>
      </c>
      <c r="H40" s="1">
        <f t="shared" si="5"/>
        <v>8</v>
      </c>
      <c r="I40" s="10">
        <f t="shared" ca="1" si="3"/>
        <v>-456</v>
      </c>
      <c r="J40" s="10">
        <f t="shared" ca="1" si="3"/>
        <v>-66</v>
      </c>
      <c r="K40" s="10">
        <f t="shared" ca="1" si="3"/>
        <v>386</v>
      </c>
      <c r="L40" s="10">
        <f t="shared" ca="1" si="3"/>
        <v>917</v>
      </c>
      <c r="M40" s="10">
        <f t="shared" ca="1" si="3"/>
        <v>1536</v>
      </c>
      <c r="N40" s="10">
        <f t="shared" ca="1" si="3"/>
        <v>1459</v>
      </c>
      <c r="O40" s="10">
        <f t="shared" ca="1" si="3"/>
        <v>1366</v>
      </c>
      <c r="P40" s="10">
        <f t="shared" ca="1" si="3"/>
        <v>1266</v>
      </c>
      <c r="Q40" s="10">
        <f t="shared" ca="1" si="3"/>
        <v>1152</v>
      </c>
      <c r="R40" s="10">
        <f t="shared" ca="1" si="3"/>
        <v>1013</v>
      </c>
      <c r="S40" s="10">
        <f t="shared" ca="1" si="4"/>
        <v>888</v>
      </c>
      <c r="T40" s="10">
        <f t="shared" ca="1" si="4"/>
        <v>748</v>
      </c>
      <c r="U40" s="10">
        <f t="shared" ca="1" si="4"/>
        <v>616</v>
      </c>
      <c r="V40" s="10">
        <f t="shared" ca="1" si="4"/>
        <v>477</v>
      </c>
      <c r="W40" s="10">
        <f t="shared" ca="1" si="4"/>
        <v>356</v>
      </c>
      <c r="X40" s="10">
        <f t="shared" ca="1" si="4"/>
        <v>213</v>
      </c>
      <c r="Y40" s="10">
        <f t="shared" ca="1" si="4"/>
        <v>96</v>
      </c>
      <c r="Z40" s="10">
        <f t="shared" ca="1" si="4"/>
        <v>-39</v>
      </c>
    </row>
    <row r="41" spans="5:26">
      <c r="E41" s="2">
        <f t="shared" si="1"/>
        <v>18</v>
      </c>
      <c r="F41">
        <f t="shared" ca="1" si="0"/>
        <v>164</v>
      </c>
      <c r="H41" s="1">
        <f t="shared" si="5"/>
        <v>9</v>
      </c>
      <c r="I41" s="10">
        <f t="shared" ca="1" si="3"/>
        <v>-464</v>
      </c>
      <c r="J41" s="10">
        <f t="shared" ca="1" si="3"/>
        <v>-74</v>
      </c>
      <c r="K41" s="10">
        <f t="shared" ca="1" si="3"/>
        <v>378</v>
      </c>
      <c r="L41" s="10">
        <f t="shared" ca="1" si="3"/>
        <v>909</v>
      </c>
      <c r="M41" s="10">
        <f t="shared" ca="1" si="3"/>
        <v>1528</v>
      </c>
      <c r="N41" s="10">
        <f t="shared" ca="1" si="3"/>
        <v>1451</v>
      </c>
      <c r="O41" s="10">
        <f t="shared" ca="1" si="3"/>
        <v>1358</v>
      </c>
      <c r="P41" s="10">
        <f t="shared" ca="1" si="3"/>
        <v>1258</v>
      </c>
      <c r="Q41" s="10">
        <f t="shared" ca="1" si="3"/>
        <v>1144</v>
      </c>
      <c r="R41" s="10">
        <f t="shared" ca="1" si="3"/>
        <v>1005</v>
      </c>
      <c r="S41" s="10">
        <f t="shared" ca="1" si="4"/>
        <v>880</v>
      </c>
      <c r="T41" s="10">
        <f t="shared" ca="1" si="4"/>
        <v>740</v>
      </c>
      <c r="U41" s="10">
        <f t="shared" ca="1" si="4"/>
        <v>608</v>
      </c>
      <c r="V41" s="10">
        <f t="shared" ca="1" si="4"/>
        <v>469</v>
      </c>
      <c r="W41" s="10">
        <f t="shared" ca="1" si="4"/>
        <v>348</v>
      </c>
      <c r="X41" s="10">
        <f t="shared" ca="1" si="4"/>
        <v>205</v>
      </c>
      <c r="Y41" s="10">
        <f t="shared" ca="1" si="4"/>
        <v>88</v>
      </c>
      <c r="Z41" s="10">
        <f t="shared" ca="1" si="4"/>
        <v>-47</v>
      </c>
    </row>
    <row r="42" spans="5:26">
      <c r="E42" s="2">
        <f t="shared" si="1"/>
        <v>19</v>
      </c>
      <c r="F42">
        <f t="shared" ca="1" si="0"/>
        <v>148</v>
      </c>
      <c r="H42" s="1">
        <f t="shared" si="5"/>
        <v>10</v>
      </c>
      <c r="I42" s="10">
        <f t="shared" ca="1" si="3"/>
        <v>-472</v>
      </c>
      <c r="J42" s="10">
        <f t="shared" ca="1" si="3"/>
        <v>-82</v>
      </c>
      <c r="K42" s="10">
        <f t="shared" ca="1" si="3"/>
        <v>370</v>
      </c>
      <c r="L42" s="10">
        <f t="shared" ca="1" si="3"/>
        <v>901</v>
      </c>
      <c r="M42" s="10">
        <f t="shared" ca="1" si="3"/>
        <v>1520</v>
      </c>
      <c r="N42" s="10">
        <f t="shared" ca="1" si="3"/>
        <v>1443</v>
      </c>
      <c r="O42" s="10">
        <f t="shared" ca="1" si="3"/>
        <v>1350</v>
      </c>
      <c r="P42" s="10">
        <f t="shared" ca="1" si="3"/>
        <v>1250</v>
      </c>
      <c r="Q42" s="10">
        <f t="shared" ca="1" si="3"/>
        <v>1136</v>
      </c>
      <c r="R42" s="10">
        <f t="shared" ca="1" si="3"/>
        <v>997</v>
      </c>
      <c r="S42" s="10">
        <f t="shared" ca="1" si="4"/>
        <v>872</v>
      </c>
      <c r="T42" s="10">
        <f t="shared" ca="1" si="4"/>
        <v>732</v>
      </c>
      <c r="U42" s="10">
        <f t="shared" ca="1" si="4"/>
        <v>600</v>
      </c>
      <c r="V42" s="10">
        <f t="shared" ca="1" si="4"/>
        <v>461</v>
      </c>
      <c r="W42" s="10">
        <f t="shared" ca="1" si="4"/>
        <v>340</v>
      </c>
      <c r="X42" s="10">
        <f t="shared" ca="1" si="4"/>
        <v>197</v>
      </c>
      <c r="Y42" s="10">
        <f t="shared" ca="1" si="4"/>
        <v>80</v>
      </c>
      <c r="Z42" s="10">
        <f t="shared" ca="1" si="4"/>
        <v>-55</v>
      </c>
    </row>
    <row r="43" spans="5:26">
      <c r="E43" s="2">
        <f t="shared" si="1"/>
        <v>20</v>
      </c>
      <c r="F43">
        <f t="shared" ca="1" si="0"/>
        <v>134</v>
      </c>
    </row>
    <row r="44" spans="5:26">
      <c r="E44" s="2">
        <f t="shared" si="1"/>
        <v>21</v>
      </c>
      <c r="F44">
        <f t="shared" ca="1" si="0"/>
        <v>121</v>
      </c>
    </row>
    <row r="45" spans="5:26">
      <c r="E45" s="2">
        <f t="shared" si="1"/>
        <v>22</v>
      </c>
      <c r="F45">
        <f t="shared" ca="1" si="0"/>
        <v>110</v>
      </c>
    </row>
    <row r="46" spans="5:26">
      <c r="E46" s="2">
        <f t="shared" si="1"/>
        <v>23</v>
      </c>
      <c r="F46">
        <f t="shared" ca="1" si="0"/>
        <v>99</v>
      </c>
    </row>
    <row r="47" spans="5:26">
      <c r="E47" s="2">
        <f t="shared" si="1"/>
        <v>24</v>
      </c>
      <c r="F47">
        <f t="shared" ca="1" si="0"/>
        <v>90</v>
      </c>
    </row>
    <row r="48" spans="5:26">
      <c r="E48" s="2">
        <f t="shared" si="1"/>
        <v>25</v>
      </c>
      <c r="F48">
        <f t="shared" ca="1" si="0"/>
        <v>81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E3B94-CA8A-4EED-B1D8-EDA5F92C9BB7}">
  <dimension ref="A2:T65"/>
  <sheetViews>
    <sheetView tabSelected="1" topLeftCell="A45" zoomScaleNormal="100" workbookViewId="0">
      <selection activeCell="C49" sqref="C49"/>
    </sheetView>
  </sheetViews>
  <sheetFormatPr defaultColWidth="8.85546875" defaultRowHeight="15"/>
  <cols>
    <col min="1" max="1" width="6.7109375" customWidth="1"/>
    <col min="2" max="2" width="9.5703125" customWidth="1"/>
    <col min="3" max="6" width="8.85546875" bestFit="1" customWidth="1"/>
  </cols>
  <sheetData>
    <row r="2" spans="2:20">
      <c r="B2" t="s">
        <v>43</v>
      </c>
      <c r="C2" t="s">
        <v>14</v>
      </c>
    </row>
    <row r="3" spans="2:20">
      <c r="B3" t="s">
        <v>50</v>
      </c>
      <c r="C3" s="5">
        <v>8</v>
      </c>
      <c r="D3" s="5">
        <f>C3+1</f>
        <v>9</v>
      </c>
      <c r="E3" s="5">
        <f t="shared" ref="E3:T3" si="0">D3+1</f>
        <v>10</v>
      </c>
      <c r="F3" s="5">
        <f t="shared" si="0"/>
        <v>11</v>
      </c>
      <c r="G3" s="5">
        <f t="shared" si="0"/>
        <v>12</v>
      </c>
      <c r="H3" s="5">
        <f t="shared" si="0"/>
        <v>13</v>
      </c>
      <c r="I3" s="5">
        <f t="shared" si="0"/>
        <v>14</v>
      </c>
      <c r="J3" s="5">
        <f t="shared" si="0"/>
        <v>15</v>
      </c>
      <c r="K3" s="5">
        <f t="shared" si="0"/>
        <v>16</v>
      </c>
      <c r="L3" s="5">
        <f t="shared" si="0"/>
        <v>17</v>
      </c>
      <c r="M3" s="5">
        <f t="shared" si="0"/>
        <v>18</v>
      </c>
      <c r="N3" s="5">
        <f t="shared" si="0"/>
        <v>19</v>
      </c>
      <c r="O3" s="5">
        <f t="shared" si="0"/>
        <v>20</v>
      </c>
      <c r="P3" s="5">
        <f t="shared" si="0"/>
        <v>21</v>
      </c>
      <c r="Q3" s="5">
        <f t="shared" si="0"/>
        <v>22</v>
      </c>
      <c r="R3" s="5">
        <f t="shared" si="0"/>
        <v>23</v>
      </c>
      <c r="S3" s="5">
        <f t="shared" si="0"/>
        <v>24</v>
      </c>
      <c r="T3" s="5">
        <f t="shared" si="0"/>
        <v>25</v>
      </c>
    </row>
    <row r="4" spans="2:20">
      <c r="B4" s="1">
        <v>1</v>
      </c>
      <c r="C4">
        <f ca="1">INT(MIN(($B4*12*8),((300*EXP(-0.1*ABS(C$3-12))*RANDBETWEEN(0.95,1.05))))/($B4*8))</f>
        <v>12</v>
      </c>
      <c r="D4">
        <f t="shared" ref="D4:T13" ca="1" si="1">INT(MIN(($B4*12*8),((300*EXP(-0.1*ABS(D$3-12))*RANDBETWEEN(0.95,1.05))))/($B4*8))</f>
        <v>12</v>
      </c>
      <c r="E4">
        <f t="shared" ca="1" si="1"/>
        <v>12</v>
      </c>
      <c r="F4">
        <f t="shared" ca="1" si="1"/>
        <v>12</v>
      </c>
      <c r="G4">
        <f t="shared" ca="1" si="1"/>
        <v>12</v>
      </c>
      <c r="H4">
        <f t="shared" ca="1" si="1"/>
        <v>12</v>
      </c>
      <c r="I4">
        <f t="shared" ca="1" si="1"/>
        <v>12</v>
      </c>
      <c r="J4">
        <f t="shared" ca="1" si="1"/>
        <v>12</v>
      </c>
      <c r="K4">
        <f t="shared" ca="1" si="1"/>
        <v>12</v>
      </c>
      <c r="L4">
        <f t="shared" ca="1" si="1"/>
        <v>12</v>
      </c>
      <c r="M4">
        <f t="shared" ca="1" si="1"/>
        <v>12</v>
      </c>
      <c r="N4">
        <f t="shared" ca="1" si="1"/>
        <v>12</v>
      </c>
      <c r="O4">
        <f t="shared" ca="1" si="1"/>
        <v>12</v>
      </c>
      <c r="P4">
        <f t="shared" ca="1" si="1"/>
        <v>12</v>
      </c>
      <c r="Q4">
        <f t="shared" ca="1" si="1"/>
        <v>12</v>
      </c>
      <c r="R4">
        <f t="shared" ca="1" si="1"/>
        <v>12</v>
      </c>
      <c r="S4">
        <f t="shared" ca="1" si="1"/>
        <v>11</v>
      </c>
      <c r="T4">
        <f t="shared" ca="1" si="1"/>
        <v>10</v>
      </c>
    </row>
    <row r="5" spans="2:20">
      <c r="B5" s="1">
        <f>B4+1</f>
        <v>2</v>
      </c>
      <c r="C5">
        <f t="shared" ref="C5:R13" ca="1" si="2">INT(MIN(($B5*12*8),((300*EXP(-0.1*ABS(C$3-12))*RANDBETWEEN(0.95,1.05))))/($B5*8))</f>
        <v>12</v>
      </c>
      <c r="D5">
        <f t="shared" ca="1" si="2"/>
        <v>12</v>
      </c>
      <c r="E5">
        <f t="shared" ca="1" si="2"/>
        <v>12</v>
      </c>
      <c r="F5">
        <f t="shared" ca="1" si="2"/>
        <v>12</v>
      </c>
      <c r="G5">
        <f t="shared" ca="1" si="2"/>
        <v>12</v>
      </c>
      <c r="H5">
        <f t="shared" ca="1" si="2"/>
        <v>12</v>
      </c>
      <c r="I5">
        <f t="shared" ca="1" si="2"/>
        <v>12</v>
      </c>
      <c r="J5">
        <f t="shared" ca="1" si="2"/>
        <v>12</v>
      </c>
      <c r="K5">
        <f t="shared" ca="1" si="2"/>
        <v>12</v>
      </c>
      <c r="L5">
        <f t="shared" ca="1" si="2"/>
        <v>11</v>
      </c>
      <c r="M5">
        <f t="shared" ca="1" si="2"/>
        <v>10</v>
      </c>
      <c r="N5">
        <f t="shared" ca="1" si="2"/>
        <v>9</v>
      </c>
      <c r="O5">
        <f t="shared" ca="1" si="2"/>
        <v>8</v>
      </c>
      <c r="P5">
        <f t="shared" ca="1" si="2"/>
        <v>7</v>
      </c>
      <c r="Q5">
        <f t="shared" ca="1" si="2"/>
        <v>6</v>
      </c>
      <c r="R5">
        <f t="shared" ca="1" si="2"/>
        <v>6</v>
      </c>
      <c r="S5">
        <f t="shared" ca="1" si="1"/>
        <v>5</v>
      </c>
      <c r="T5">
        <f t="shared" ca="1" si="1"/>
        <v>5</v>
      </c>
    </row>
    <row r="6" spans="2:20">
      <c r="B6" s="1">
        <f t="shared" ref="B6:B13" si="3">B5+1</f>
        <v>3</v>
      </c>
      <c r="C6">
        <f t="shared" ca="1" si="2"/>
        <v>8</v>
      </c>
      <c r="D6">
        <f t="shared" ca="1" si="1"/>
        <v>9</v>
      </c>
      <c r="E6">
        <f t="shared" ca="1" si="1"/>
        <v>10</v>
      </c>
      <c r="F6">
        <f t="shared" ca="1" si="1"/>
        <v>11</v>
      </c>
      <c r="G6">
        <f t="shared" ca="1" si="1"/>
        <v>12</v>
      </c>
      <c r="H6">
        <f t="shared" ca="1" si="1"/>
        <v>11</v>
      </c>
      <c r="I6">
        <f t="shared" ca="1" si="1"/>
        <v>10</v>
      </c>
      <c r="J6">
        <f t="shared" ca="1" si="1"/>
        <v>9</v>
      </c>
      <c r="K6">
        <f t="shared" ca="1" si="1"/>
        <v>8</v>
      </c>
      <c r="L6">
        <f t="shared" ca="1" si="1"/>
        <v>7</v>
      </c>
      <c r="M6">
        <f t="shared" ca="1" si="1"/>
        <v>6</v>
      </c>
      <c r="N6">
        <f t="shared" ca="1" si="1"/>
        <v>6</v>
      </c>
      <c r="O6">
        <f t="shared" ca="1" si="1"/>
        <v>5</v>
      </c>
      <c r="P6">
        <f t="shared" ca="1" si="1"/>
        <v>5</v>
      </c>
      <c r="Q6">
        <f t="shared" ca="1" si="1"/>
        <v>4</v>
      </c>
      <c r="R6">
        <f t="shared" ca="1" si="1"/>
        <v>4</v>
      </c>
      <c r="S6">
        <f t="shared" ca="1" si="1"/>
        <v>3</v>
      </c>
      <c r="T6">
        <f t="shared" ca="1" si="1"/>
        <v>3</v>
      </c>
    </row>
    <row r="7" spans="2:20">
      <c r="B7" s="1">
        <f t="shared" si="3"/>
        <v>4</v>
      </c>
      <c r="C7">
        <f t="shared" ca="1" si="2"/>
        <v>6</v>
      </c>
      <c r="D7">
        <f t="shared" ca="1" si="1"/>
        <v>6</v>
      </c>
      <c r="E7">
        <f t="shared" ca="1" si="1"/>
        <v>7</v>
      </c>
      <c r="F7">
        <f t="shared" ca="1" si="1"/>
        <v>8</v>
      </c>
      <c r="G7">
        <f t="shared" ca="1" si="1"/>
        <v>9</v>
      </c>
      <c r="H7">
        <f t="shared" ca="1" si="1"/>
        <v>8</v>
      </c>
      <c r="I7">
        <f t="shared" ca="1" si="1"/>
        <v>7</v>
      </c>
      <c r="J7">
        <f t="shared" ca="1" si="1"/>
        <v>6</v>
      </c>
      <c r="K7">
        <f t="shared" ca="1" si="1"/>
        <v>6</v>
      </c>
      <c r="L7">
        <f t="shared" ca="1" si="1"/>
        <v>5</v>
      </c>
      <c r="M7">
        <f t="shared" ca="1" si="1"/>
        <v>5</v>
      </c>
      <c r="N7">
        <f t="shared" ca="1" si="1"/>
        <v>4</v>
      </c>
      <c r="O7">
        <f t="shared" ca="1" si="1"/>
        <v>4</v>
      </c>
      <c r="P7">
        <f t="shared" ca="1" si="1"/>
        <v>3</v>
      </c>
      <c r="Q7">
        <f t="shared" ca="1" si="1"/>
        <v>3</v>
      </c>
      <c r="R7">
        <f t="shared" ca="1" si="1"/>
        <v>3</v>
      </c>
      <c r="S7">
        <f t="shared" ca="1" si="1"/>
        <v>2</v>
      </c>
      <c r="T7">
        <f t="shared" ca="1" si="1"/>
        <v>2</v>
      </c>
    </row>
    <row r="8" spans="2:20">
      <c r="B8" s="1">
        <f t="shared" si="3"/>
        <v>5</v>
      </c>
      <c r="C8">
        <f t="shared" ca="1" si="2"/>
        <v>5</v>
      </c>
      <c r="D8">
        <f t="shared" ca="1" si="1"/>
        <v>5</v>
      </c>
      <c r="E8">
        <f t="shared" ca="1" si="1"/>
        <v>6</v>
      </c>
      <c r="F8">
        <f t="shared" ca="1" si="1"/>
        <v>6</v>
      </c>
      <c r="G8">
        <f t="shared" ca="1" si="1"/>
        <v>7</v>
      </c>
      <c r="H8">
        <f t="shared" ca="1" si="1"/>
        <v>6</v>
      </c>
      <c r="I8">
        <f t="shared" ca="1" si="1"/>
        <v>6</v>
      </c>
      <c r="J8">
        <f t="shared" ca="1" si="1"/>
        <v>5</v>
      </c>
      <c r="K8">
        <f t="shared" ca="1" si="1"/>
        <v>5</v>
      </c>
      <c r="L8">
        <f t="shared" ca="1" si="1"/>
        <v>4</v>
      </c>
      <c r="M8">
        <f t="shared" ca="1" si="1"/>
        <v>4</v>
      </c>
      <c r="N8">
        <f t="shared" ca="1" si="1"/>
        <v>3</v>
      </c>
      <c r="O8">
        <f t="shared" ca="1" si="1"/>
        <v>3</v>
      </c>
      <c r="P8">
        <f t="shared" ca="1" si="1"/>
        <v>3</v>
      </c>
      <c r="Q8">
        <f t="shared" ca="1" si="1"/>
        <v>2</v>
      </c>
      <c r="R8">
        <f t="shared" ca="1" si="1"/>
        <v>2</v>
      </c>
      <c r="S8">
        <f t="shared" ca="1" si="1"/>
        <v>2</v>
      </c>
      <c r="T8">
        <f t="shared" ca="1" si="1"/>
        <v>2</v>
      </c>
    </row>
    <row r="9" spans="2:20">
      <c r="B9" s="1">
        <f t="shared" si="3"/>
        <v>6</v>
      </c>
      <c r="C9">
        <f t="shared" ca="1" si="2"/>
        <v>4</v>
      </c>
      <c r="D9">
        <f t="shared" ca="1" si="1"/>
        <v>4</v>
      </c>
      <c r="E9">
        <f t="shared" ca="1" si="1"/>
        <v>5</v>
      </c>
      <c r="F9">
        <f t="shared" ca="1" si="1"/>
        <v>5</v>
      </c>
      <c r="G9">
        <f t="shared" ca="1" si="1"/>
        <v>6</v>
      </c>
      <c r="H9">
        <f t="shared" ca="1" si="1"/>
        <v>5</v>
      </c>
      <c r="I9">
        <f t="shared" ca="1" si="1"/>
        <v>5</v>
      </c>
      <c r="J9">
        <f t="shared" ca="1" si="1"/>
        <v>4</v>
      </c>
      <c r="K9">
        <f t="shared" ca="1" si="1"/>
        <v>4</v>
      </c>
      <c r="L9">
        <f t="shared" ca="1" si="1"/>
        <v>3</v>
      </c>
      <c r="M9">
        <f t="shared" ca="1" si="1"/>
        <v>3</v>
      </c>
      <c r="N9">
        <f t="shared" ca="1" si="1"/>
        <v>3</v>
      </c>
      <c r="O9">
        <f t="shared" ca="1" si="1"/>
        <v>2</v>
      </c>
      <c r="P9">
        <f t="shared" ca="1" si="1"/>
        <v>2</v>
      </c>
      <c r="Q9">
        <f t="shared" ca="1" si="1"/>
        <v>2</v>
      </c>
      <c r="R9">
        <f t="shared" ca="1" si="1"/>
        <v>2</v>
      </c>
      <c r="S9">
        <f t="shared" ca="1" si="1"/>
        <v>1</v>
      </c>
      <c r="T9">
        <f t="shared" ca="1" si="1"/>
        <v>1</v>
      </c>
    </row>
    <row r="10" spans="2:20">
      <c r="B10" s="1">
        <f t="shared" si="3"/>
        <v>7</v>
      </c>
      <c r="C10">
        <f t="shared" ca="1" si="2"/>
        <v>3</v>
      </c>
      <c r="D10">
        <f t="shared" ca="1" si="1"/>
        <v>3</v>
      </c>
      <c r="E10">
        <f t="shared" ca="1" si="1"/>
        <v>4</v>
      </c>
      <c r="F10">
        <f t="shared" ca="1" si="1"/>
        <v>4</v>
      </c>
      <c r="G10">
        <f t="shared" ca="1" si="1"/>
        <v>5</v>
      </c>
      <c r="H10">
        <f t="shared" ca="1" si="1"/>
        <v>4</v>
      </c>
      <c r="I10">
        <f t="shared" ca="1" si="1"/>
        <v>4</v>
      </c>
      <c r="J10">
        <f t="shared" ca="1" si="1"/>
        <v>3</v>
      </c>
      <c r="K10">
        <f t="shared" ca="1" si="1"/>
        <v>3</v>
      </c>
      <c r="L10">
        <f t="shared" ca="1" si="1"/>
        <v>3</v>
      </c>
      <c r="M10">
        <f t="shared" ca="1" si="1"/>
        <v>2</v>
      </c>
      <c r="N10">
        <f t="shared" ca="1" si="1"/>
        <v>2</v>
      </c>
      <c r="O10">
        <f t="shared" ca="1" si="1"/>
        <v>2</v>
      </c>
      <c r="P10">
        <f t="shared" ca="1" si="1"/>
        <v>2</v>
      </c>
      <c r="Q10">
        <f t="shared" ca="1" si="1"/>
        <v>1</v>
      </c>
      <c r="R10">
        <f t="shared" ca="1" si="1"/>
        <v>1</v>
      </c>
      <c r="S10">
        <f t="shared" ca="1" si="1"/>
        <v>1</v>
      </c>
      <c r="T10">
        <f t="shared" ca="1" si="1"/>
        <v>1</v>
      </c>
    </row>
    <row r="11" spans="2:20">
      <c r="B11" s="1">
        <f t="shared" si="3"/>
        <v>8</v>
      </c>
      <c r="C11">
        <f t="shared" ca="1" si="2"/>
        <v>3</v>
      </c>
      <c r="D11">
        <f t="shared" ca="1" si="1"/>
        <v>3</v>
      </c>
      <c r="E11">
        <f t="shared" ca="1" si="1"/>
        <v>3</v>
      </c>
      <c r="F11">
        <f t="shared" ca="1" si="1"/>
        <v>4</v>
      </c>
      <c r="G11">
        <f t="shared" ca="1" si="1"/>
        <v>4</v>
      </c>
      <c r="H11">
        <f t="shared" ca="1" si="1"/>
        <v>4</v>
      </c>
      <c r="I11">
        <f t="shared" ca="1" si="1"/>
        <v>3</v>
      </c>
      <c r="J11">
        <f t="shared" ca="1" si="1"/>
        <v>3</v>
      </c>
      <c r="K11">
        <f t="shared" ca="1" si="1"/>
        <v>3</v>
      </c>
      <c r="L11">
        <f t="shared" ca="1" si="1"/>
        <v>2</v>
      </c>
      <c r="M11">
        <f t="shared" ca="1" si="1"/>
        <v>2</v>
      </c>
      <c r="N11">
        <f t="shared" ca="1" si="1"/>
        <v>2</v>
      </c>
      <c r="O11">
        <f t="shared" ca="1" si="1"/>
        <v>2</v>
      </c>
      <c r="P11">
        <f t="shared" ca="1" si="1"/>
        <v>1</v>
      </c>
      <c r="Q11">
        <f t="shared" ca="1" si="1"/>
        <v>1</v>
      </c>
      <c r="R11">
        <f t="shared" ca="1" si="1"/>
        <v>1</v>
      </c>
      <c r="S11">
        <f t="shared" ca="1" si="1"/>
        <v>1</v>
      </c>
      <c r="T11">
        <f t="shared" ca="1" si="1"/>
        <v>1</v>
      </c>
    </row>
    <row r="12" spans="2:20">
      <c r="B12" s="1">
        <f t="shared" si="3"/>
        <v>9</v>
      </c>
      <c r="C12">
        <f t="shared" ca="1" si="2"/>
        <v>2</v>
      </c>
      <c r="D12">
        <f t="shared" ca="1" si="1"/>
        <v>3</v>
      </c>
      <c r="E12">
        <f t="shared" ca="1" si="1"/>
        <v>3</v>
      </c>
      <c r="F12">
        <f t="shared" ca="1" si="1"/>
        <v>3</v>
      </c>
      <c r="G12">
        <f t="shared" ca="1" si="1"/>
        <v>4</v>
      </c>
      <c r="H12">
        <f t="shared" ca="1" si="1"/>
        <v>3</v>
      </c>
      <c r="I12">
        <f t="shared" ca="1" si="1"/>
        <v>3</v>
      </c>
      <c r="J12">
        <f t="shared" ca="1" si="1"/>
        <v>3</v>
      </c>
      <c r="K12">
        <f t="shared" ca="1" si="1"/>
        <v>2</v>
      </c>
      <c r="L12">
        <f t="shared" ca="1" si="1"/>
        <v>2</v>
      </c>
      <c r="M12">
        <f t="shared" ca="1" si="1"/>
        <v>2</v>
      </c>
      <c r="N12">
        <f t="shared" ca="1" si="1"/>
        <v>2</v>
      </c>
      <c r="O12">
        <f t="shared" ca="1" si="1"/>
        <v>1</v>
      </c>
      <c r="P12">
        <f t="shared" ca="1" si="1"/>
        <v>1</v>
      </c>
      <c r="Q12">
        <f t="shared" ca="1" si="1"/>
        <v>1</v>
      </c>
      <c r="R12">
        <f t="shared" ca="1" si="1"/>
        <v>1</v>
      </c>
      <c r="S12">
        <f t="shared" ca="1" si="1"/>
        <v>1</v>
      </c>
      <c r="T12">
        <f t="shared" ca="1" si="1"/>
        <v>1</v>
      </c>
    </row>
    <row r="13" spans="2:20">
      <c r="B13" s="1">
        <f t="shared" si="3"/>
        <v>10</v>
      </c>
      <c r="C13">
        <f t="shared" ca="1" si="2"/>
        <v>2</v>
      </c>
      <c r="D13">
        <f t="shared" ca="1" si="1"/>
        <v>2</v>
      </c>
      <c r="E13">
        <f t="shared" ca="1" si="1"/>
        <v>3</v>
      </c>
      <c r="F13">
        <f t="shared" ca="1" si="1"/>
        <v>3</v>
      </c>
      <c r="G13">
        <f t="shared" ca="1" si="1"/>
        <v>3</v>
      </c>
      <c r="H13">
        <f t="shared" ca="1" si="1"/>
        <v>3</v>
      </c>
      <c r="I13">
        <f t="shared" ca="1" si="1"/>
        <v>3</v>
      </c>
      <c r="J13">
        <f t="shared" ca="1" si="1"/>
        <v>2</v>
      </c>
      <c r="K13">
        <f t="shared" ca="1" si="1"/>
        <v>2</v>
      </c>
      <c r="L13">
        <f t="shared" ca="1" si="1"/>
        <v>2</v>
      </c>
      <c r="M13">
        <f t="shared" ca="1" si="1"/>
        <v>2</v>
      </c>
      <c r="N13">
        <f t="shared" ca="1" si="1"/>
        <v>1</v>
      </c>
      <c r="O13">
        <f t="shared" ca="1" si="1"/>
        <v>1</v>
      </c>
      <c r="P13">
        <f t="shared" ca="1" si="1"/>
        <v>1</v>
      </c>
      <c r="Q13">
        <f t="shared" ca="1" si="1"/>
        <v>1</v>
      </c>
      <c r="R13">
        <f t="shared" ca="1" si="1"/>
        <v>1</v>
      </c>
      <c r="S13">
        <f t="shared" ca="1" si="1"/>
        <v>1</v>
      </c>
      <c r="T13">
        <f t="shared" ca="1" si="1"/>
        <v>1</v>
      </c>
    </row>
    <row r="54" spans="1:2">
      <c r="A54" t="s">
        <v>43</v>
      </c>
    </row>
    <row r="55" spans="1:2">
      <c r="A55" t="s">
        <v>51</v>
      </c>
      <c r="B55" t="s">
        <v>52</v>
      </c>
    </row>
    <row r="56" spans="1:2">
      <c r="A56" s="1">
        <v>1</v>
      </c>
      <c r="B56">
        <v>12</v>
      </c>
    </row>
    <row r="57" spans="1:2">
      <c r="A57" s="1">
        <f>A56+1</f>
        <v>2</v>
      </c>
      <c r="B57">
        <v>12</v>
      </c>
    </row>
    <row r="58" spans="1:2">
      <c r="A58" s="1">
        <f t="shared" ref="A58:A65" si="4">A57+1</f>
        <v>3</v>
      </c>
      <c r="B58">
        <v>10</v>
      </c>
    </row>
    <row r="59" spans="1:2">
      <c r="A59" s="1">
        <f t="shared" si="4"/>
        <v>4</v>
      </c>
      <c r="B59">
        <v>7</v>
      </c>
    </row>
    <row r="60" spans="1:2">
      <c r="A60" s="1">
        <f t="shared" si="4"/>
        <v>5</v>
      </c>
      <c r="B60">
        <v>6</v>
      </c>
    </row>
    <row r="61" spans="1:2">
      <c r="A61" s="1">
        <f t="shared" si="4"/>
        <v>6</v>
      </c>
      <c r="B61">
        <v>5</v>
      </c>
    </row>
    <row r="62" spans="1:2">
      <c r="A62" s="1">
        <f t="shared" si="4"/>
        <v>7</v>
      </c>
      <c r="B62">
        <v>4</v>
      </c>
    </row>
    <row r="63" spans="1:2">
      <c r="A63" s="1">
        <f t="shared" si="4"/>
        <v>8</v>
      </c>
      <c r="B63">
        <v>3</v>
      </c>
    </row>
    <row r="64" spans="1:2">
      <c r="A64" s="1">
        <f t="shared" si="4"/>
        <v>9</v>
      </c>
      <c r="B64">
        <v>3</v>
      </c>
    </row>
    <row r="65" spans="1:2">
      <c r="A65" s="1">
        <f t="shared" si="4"/>
        <v>10</v>
      </c>
      <c r="B65"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B31AA-688D-7747-B603-6BD11C8D0E63}">
  <dimension ref="A2:T16"/>
  <sheetViews>
    <sheetView topLeftCell="B3" workbookViewId="0">
      <selection activeCell="G6" sqref="G6"/>
    </sheetView>
  </sheetViews>
  <sheetFormatPr defaultColWidth="8.85546875" defaultRowHeight="15"/>
  <cols>
    <col min="2" max="2" width="16.7109375" bestFit="1" customWidth="1"/>
    <col min="3" max="6" width="8.85546875" bestFit="1" customWidth="1"/>
  </cols>
  <sheetData>
    <row r="2" spans="1:20">
      <c r="B2" t="s">
        <v>45</v>
      </c>
      <c r="C2" t="s">
        <v>14</v>
      </c>
    </row>
    <row r="3" spans="1:20">
      <c r="B3" t="s">
        <v>50</v>
      </c>
      <c r="C3" s="5">
        <v>8</v>
      </c>
      <c r="D3" s="5">
        <f>C3+1</f>
        <v>9</v>
      </c>
      <c r="E3" s="5">
        <f t="shared" ref="E3:T3" si="0">D3+1</f>
        <v>10</v>
      </c>
      <c r="F3" s="5">
        <f t="shared" si="0"/>
        <v>11</v>
      </c>
      <c r="G3" s="5">
        <f t="shared" si="0"/>
        <v>12</v>
      </c>
      <c r="H3" s="5">
        <f t="shared" si="0"/>
        <v>13</v>
      </c>
      <c r="I3" s="5">
        <f t="shared" si="0"/>
        <v>14</v>
      </c>
      <c r="J3" s="5">
        <f t="shared" si="0"/>
        <v>15</v>
      </c>
      <c r="K3" s="5">
        <f t="shared" si="0"/>
        <v>16</v>
      </c>
      <c r="L3" s="5">
        <f t="shared" si="0"/>
        <v>17</v>
      </c>
      <c r="M3" s="5">
        <f t="shared" si="0"/>
        <v>18</v>
      </c>
      <c r="N3" s="5">
        <f t="shared" si="0"/>
        <v>19</v>
      </c>
      <c r="O3" s="5">
        <f t="shared" si="0"/>
        <v>20</v>
      </c>
      <c r="P3" s="5">
        <f t="shared" si="0"/>
        <v>21</v>
      </c>
      <c r="Q3" s="5">
        <f t="shared" si="0"/>
        <v>22</v>
      </c>
      <c r="R3" s="5">
        <f t="shared" si="0"/>
        <v>23</v>
      </c>
      <c r="S3" s="5">
        <f t="shared" si="0"/>
        <v>24</v>
      </c>
      <c r="T3" s="5">
        <f t="shared" si="0"/>
        <v>25</v>
      </c>
    </row>
    <row r="4" spans="1:20">
      <c r="B4" s="1">
        <v>1</v>
      </c>
      <c r="C4" s="4">
        <f ca="1">((MIN(((300*EXP(-0.1*ABS(C$3-12))*RANDBETWEEN(0.95,1.05))),($B4*12*8)))*C$3)/(($B4*15*8)+2000)</f>
        <v>0.3622641509433962</v>
      </c>
      <c r="D4" s="3">
        <f ca="1">((MIN(((300*EXP(-0.1*ABS(D$3-12))*RANDBETWEEN(0.95,1.05))),($B4*12*8)))*D$3)/(($B4*15*8)+2000)</f>
        <v>0.40754716981132078</v>
      </c>
      <c r="E4" s="3">
        <f t="shared" ref="E4:T13" ca="1" si="1">((MIN(((300*EXP(-0.1*ABS(E$3-12))*RANDBETWEEN(0.95,1.05))),($B4*12*8)))*E$3)/(($B4*15*8)+2000)</f>
        <v>0.45283018867924529</v>
      </c>
      <c r="F4" s="3">
        <f t="shared" ca="1" si="1"/>
        <v>0.49811320754716981</v>
      </c>
      <c r="G4" s="3">
        <f t="shared" ca="1" si="1"/>
        <v>0.54339622641509433</v>
      </c>
      <c r="H4" s="3">
        <f t="shared" ca="1" si="1"/>
        <v>0.58867924528301885</v>
      </c>
      <c r="I4" s="3">
        <f t="shared" ca="1" si="1"/>
        <v>0.63396226415094337</v>
      </c>
      <c r="J4" s="3">
        <f t="shared" ca="1" si="1"/>
        <v>0.67924528301886788</v>
      </c>
      <c r="K4" s="3">
        <f t="shared" ca="1" si="1"/>
        <v>0.7245283018867924</v>
      </c>
      <c r="L4" s="3">
        <f t="shared" ca="1" si="1"/>
        <v>0.76981132075471703</v>
      </c>
      <c r="M4" s="3">
        <f t="shared" ca="1" si="1"/>
        <v>0.81509433962264155</v>
      </c>
      <c r="N4" s="3">
        <f t="shared" ca="1" si="1"/>
        <v>0.86037735849056607</v>
      </c>
      <c r="O4" s="3">
        <f t="shared" ca="1" si="1"/>
        <v>0.90566037735849059</v>
      </c>
      <c r="P4" s="3">
        <f t="shared" ca="1" si="1"/>
        <v>0.95094339622641511</v>
      </c>
      <c r="Q4" s="3">
        <f t="shared" ca="1" si="1"/>
        <v>0.99622641509433962</v>
      </c>
      <c r="R4" s="3">
        <f t="shared" ca="1" si="1"/>
        <v>1.0415094339622641</v>
      </c>
      <c r="S4" s="3">
        <f t="shared" ca="1" si="1"/>
        <v>1.0229237385697427</v>
      </c>
      <c r="T4" s="3">
        <f t="shared" ca="1" si="1"/>
        <v>0.96414549422410112</v>
      </c>
    </row>
    <row r="5" spans="1:20">
      <c r="B5" s="1">
        <f>B4+1</f>
        <v>2</v>
      </c>
      <c r="C5" s="3">
        <f t="shared" ref="C5:R13" ca="1" si="2">((MIN(((300*EXP(-0.1*ABS(C$3-12))*RANDBETWEEN(0.95,1.05))),($B5*12*8)))*C$3)/(($B5*15*8)+2000)</f>
        <v>0.68571428571428572</v>
      </c>
      <c r="D5" s="3">
        <f t="shared" ca="1" si="2"/>
        <v>0.77142857142857146</v>
      </c>
      <c r="E5" s="3">
        <f t="shared" ca="1" si="2"/>
        <v>0.8571428571428571</v>
      </c>
      <c r="F5" s="3">
        <f t="shared" ca="1" si="2"/>
        <v>0.94285714285714284</v>
      </c>
      <c r="G5" s="3">
        <f t="shared" ca="1" si="2"/>
        <v>1.0285714285714285</v>
      </c>
      <c r="H5" s="3">
        <f t="shared" ca="1" si="2"/>
        <v>1.1142857142857143</v>
      </c>
      <c r="I5" s="3">
        <f t="shared" ca="1" si="2"/>
        <v>1.2</v>
      </c>
      <c r="J5" s="3">
        <f t="shared" ca="1" si="2"/>
        <v>1.2857142857142858</v>
      </c>
      <c r="K5" s="3">
        <f t="shared" ca="1" si="2"/>
        <v>1.3714285714285714</v>
      </c>
      <c r="L5" s="3">
        <f t="shared" ca="1" si="2"/>
        <v>1.3809403413100136</v>
      </c>
      <c r="M5" s="3">
        <f t="shared" ca="1" si="2"/>
        <v>1.3230280512980992</v>
      </c>
      <c r="N5" s="3">
        <f t="shared" ca="1" si="2"/>
        <v>1.2636322462549259</v>
      </c>
      <c r="O5" s="3">
        <f t="shared" ca="1" si="2"/>
        <v>1.2035597253139863</v>
      </c>
      <c r="P5" s="3">
        <f t="shared" ca="1" si="2"/>
        <v>1.143477168020435</v>
      </c>
      <c r="Q5" s="3">
        <f t="shared" ca="1" si="2"/>
        <v>1.083930496308714</v>
      </c>
      <c r="R5" s="3">
        <f t="shared" ca="1" si="2"/>
        <v>1.0253618203199772</v>
      </c>
      <c r="S5" s="3">
        <f t="shared" ca="1" si="1"/>
        <v>0.96812425257493506</v>
      </c>
      <c r="T5" s="3">
        <f t="shared" ca="1" si="1"/>
        <v>0.9124948427478099</v>
      </c>
    </row>
    <row r="6" spans="1:20">
      <c r="B6" s="1">
        <f t="shared" ref="B6:B13" si="3">B5+1</f>
        <v>3</v>
      </c>
      <c r="C6" s="3">
        <f t="shared" ca="1" si="2"/>
        <v>0.68168140274810785</v>
      </c>
      <c r="D6" s="3">
        <f t="shared" ca="1" si="2"/>
        <v>0.84754626942399935</v>
      </c>
      <c r="E6" s="3">
        <f t="shared" ca="1" si="1"/>
        <v>1.0407594318787903</v>
      </c>
      <c r="F6" s="3">
        <f t="shared" ca="1" si="1"/>
        <v>1.2652387625079096</v>
      </c>
      <c r="G6" s="3">
        <f t="shared" ca="1" si="1"/>
        <v>1.464406779661017</v>
      </c>
      <c r="H6" s="4">
        <f t="shared" ca="1" si="1"/>
        <v>1.4952821738729838</v>
      </c>
      <c r="I6" s="3">
        <f t="shared" ca="1" si="1"/>
        <v>1.4570632046303067</v>
      </c>
      <c r="J6" s="3">
        <f t="shared" ca="1" si="1"/>
        <v>1.4125771157066656</v>
      </c>
      <c r="K6" s="3">
        <f t="shared" ca="1" si="1"/>
        <v>1.3633628054962157</v>
      </c>
      <c r="L6" s="3">
        <f t="shared" ca="1" si="1"/>
        <v>1.310723035819674</v>
      </c>
      <c r="M6" s="3">
        <f t="shared" ca="1" si="1"/>
        <v>1.2557554385202299</v>
      </c>
      <c r="N6" s="3">
        <f t="shared" ca="1" si="1"/>
        <v>1.1993797591572177</v>
      </c>
      <c r="O6" s="3">
        <f t="shared" ca="1" si="1"/>
        <v>1.1423617731793769</v>
      </c>
      <c r="P6" s="3">
        <f t="shared" ca="1" si="1"/>
        <v>1.0853342611719383</v>
      </c>
      <c r="Q6" s="3">
        <f t="shared" ca="1" si="1"/>
        <v>1.0288153863269149</v>
      </c>
      <c r="R6" s="3">
        <f t="shared" ca="1" si="1"/>
        <v>0.97322477860879197</v>
      </c>
      <c r="S6" s="3">
        <f t="shared" ca="1" si="1"/>
        <v>0.91889759566434515</v>
      </c>
      <c r="T6" s="3">
        <f t="shared" ca="1" si="1"/>
        <v>0.86609679989622634</v>
      </c>
    </row>
    <row r="7" spans="1:20">
      <c r="B7" s="1">
        <f t="shared" si="3"/>
        <v>4</v>
      </c>
      <c r="C7" s="3">
        <f t="shared" ca="1" si="2"/>
        <v>0.64869681874416707</v>
      </c>
      <c r="D7" s="3">
        <f t="shared" ca="1" si="2"/>
        <v>0.80653596606477351</v>
      </c>
      <c r="E7" s="3">
        <f t="shared" ca="1" si="1"/>
        <v>0.99040010452981664</v>
      </c>
      <c r="F7" s="3">
        <f t="shared" ca="1" si="1"/>
        <v>1.2040175320639785</v>
      </c>
      <c r="G7" s="3">
        <f t="shared" ca="1" si="1"/>
        <v>1.4516129032258065</v>
      </c>
      <c r="H7" s="3">
        <f t="shared" ca="1" si="1"/>
        <v>1.4229298106210653</v>
      </c>
      <c r="I7" s="3">
        <f t="shared" ca="1" si="1"/>
        <v>1.3865601463417434</v>
      </c>
      <c r="J7" s="3">
        <f t="shared" ca="1" si="1"/>
        <v>1.3442266101079559</v>
      </c>
      <c r="K7" s="3">
        <f t="shared" ca="1" si="1"/>
        <v>1.2973936374883341</v>
      </c>
      <c r="L7" s="3">
        <f t="shared" ca="1" si="1"/>
        <v>1.2473009534413027</v>
      </c>
      <c r="M7" s="3">
        <f t="shared" ca="1" si="1"/>
        <v>1.1949930785918317</v>
      </c>
      <c r="N7" s="3">
        <f t="shared" ca="1" si="1"/>
        <v>1.1413452546818685</v>
      </c>
      <c r="O7" s="3">
        <f t="shared" ca="1" si="1"/>
        <v>1.0870862035094069</v>
      </c>
      <c r="P7" s="3">
        <f t="shared" ca="1" si="1"/>
        <v>1.0328180872442638</v>
      </c>
      <c r="Q7" s="3">
        <f t="shared" ca="1" si="1"/>
        <v>0.97903399666593527</v>
      </c>
      <c r="R7" s="3">
        <f t="shared" ca="1" si="1"/>
        <v>0.92613325706320526</v>
      </c>
      <c r="S7" s="3">
        <f t="shared" ca="1" si="1"/>
        <v>0.87443480877736068</v>
      </c>
      <c r="T7" s="3">
        <f t="shared" ca="1" si="1"/>
        <v>0.82418889022382835</v>
      </c>
    </row>
    <row r="8" spans="1:20">
      <c r="B8" s="1">
        <f t="shared" si="3"/>
        <v>5</v>
      </c>
      <c r="C8" s="3">
        <f t="shared" ca="1" si="2"/>
        <v>0.6187569655713594</v>
      </c>
      <c r="D8" s="3">
        <f t="shared" ca="1" si="2"/>
        <v>0.76931122916947625</v>
      </c>
      <c r="E8" s="3">
        <f t="shared" ca="1" si="1"/>
        <v>0.94468933047459425</v>
      </c>
      <c r="F8" s="3">
        <f t="shared" ca="1" si="1"/>
        <v>1.148447492122564</v>
      </c>
      <c r="G8" s="3">
        <f t="shared" ca="1" si="1"/>
        <v>1.3846153846153846</v>
      </c>
      <c r="H8" s="3">
        <f t="shared" ca="1" si="1"/>
        <v>1.3572561270539392</v>
      </c>
      <c r="I8" s="3">
        <f t="shared" ca="1" si="1"/>
        <v>1.3225650626644323</v>
      </c>
      <c r="J8" s="3">
        <f t="shared" ca="1" si="1"/>
        <v>1.2821853819491271</v>
      </c>
      <c r="K8" s="3">
        <f t="shared" ca="1" si="1"/>
        <v>1.2375139311427188</v>
      </c>
      <c r="L8" s="3">
        <f t="shared" ca="1" si="1"/>
        <v>1.189733217128627</v>
      </c>
      <c r="M8" s="3">
        <f t="shared" ca="1" si="1"/>
        <v>1.1398395518875932</v>
      </c>
      <c r="N8" s="3">
        <f t="shared" ca="1" si="1"/>
        <v>1.0886677813888592</v>
      </c>
      <c r="O8" s="3">
        <f t="shared" ca="1" si="1"/>
        <v>1.036912994116665</v>
      </c>
      <c r="P8" s="3">
        <f t="shared" ca="1" si="1"/>
        <v>0.98514956014068245</v>
      </c>
      <c r="Q8" s="3">
        <f t="shared" ca="1" si="1"/>
        <v>0.93384781220443058</v>
      </c>
      <c r="R8" s="3">
        <f t="shared" ca="1" si="1"/>
        <v>0.8833886451987496</v>
      </c>
      <c r="S8" s="3">
        <f t="shared" ca="1" si="1"/>
        <v>0.83407627914148252</v>
      </c>
      <c r="T8" s="3">
        <f t="shared" ca="1" si="1"/>
        <v>0.78614940298272862</v>
      </c>
    </row>
    <row r="9" spans="1:20">
      <c r="B9" s="1">
        <f t="shared" si="3"/>
        <v>6</v>
      </c>
      <c r="C9" s="3">
        <f t="shared" ca="1" si="2"/>
        <v>0.59145886414909354</v>
      </c>
      <c r="D9" s="3">
        <f t="shared" ca="1" si="2"/>
        <v>0.73537102788258768</v>
      </c>
      <c r="E9" s="3">
        <f t="shared" ca="1" si="1"/>
        <v>0.90301186001247979</v>
      </c>
      <c r="F9" s="3">
        <f t="shared" ca="1" si="1"/>
        <v>1.0977806909995098</v>
      </c>
      <c r="G9" s="3">
        <f t="shared" ca="1" si="1"/>
        <v>1.3235294117647058</v>
      </c>
      <c r="H9" s="3">
        <f t="shared" ca="1" si="1"/>
        <v>1.2973771802721477</v>
      </c>
      <c r="I9" s="3">
        <f t="shared" ca="1" si="1"/>
        <v>1.264216604017472</v>
      </c>
      <c r="J9" s="3">
        <f t="shared" ca="1" si="1"/>
        <v>1.2256183798043128</v>
      </c>
      <c r="K9" s="3">
        <f t="shared" ca="1" si="1"/>
        <v>1.1829177282981871</v>
      </c>
      <c r="L9" s="3">
        <f t="shared" ca="1" si="1"/>
        <v>1.1372449869611876</v>
      </c>
      <c r="M9" s="3">
        <f t="shared" ca="1" si="1"/>
        <v>1.0895525128337289</v>
      </c>
      <c r="N9" s="3">
        <f t="shared" ca="1" si="1"/>
        <v>1.0406383204452332</v>
      </c>
      <c r="O9" s="3">
        <f t="shared" ca="1" si="1"/>
        <v>0.99116683261151817</v>
      </c>
      <c r="P9" s="3">
        <f t="shared" ca="1" si="1"/>
        <v>0.94168707954624054</v>
      </c>
      <c r="Q9" s="3">
        <f t="shared" ca="1" si="1"/>
        <v>0.89264864401894095</v>
      </c>
      <c r="R9" s="3">
        <f t="shared" ca="1" si="1"/>
        <v>0.84441561673409893</v>
      </c>
      <c r="S9" s="3">
        <f t="shared" ca="1" si="1"/>
        <v>0.79727879623818176</v>
      </c>
      <c r="T9" s="3">
        <f t="shared" ca="1" si="1"/>
        <v>0.75146634108643173</v>
      </c>
    </row>
    <row r="10" spans="1:20">
      <c r="B10" s="1">
        <f t="shared" si="3"/>
        <v>7</v>
      </c>
      <c r="C10" s="3">
        <f t="shared" ca="1" si="2"/>
        <v>0.56646764453716003</v>
      </c>
      <c r="D10" s="3">
        <f t="shared" ca="1" si="2"/>
        <v>0.7042990126199431</v>
      </c>
      <c r="E10" s="3">
        <f t="shared" ca="1" si="1"/>
        <v>0.86485642930772721</v>
      </c>
      <c r="F10" s="3">
        <f t="shared" ca="1" si="1"/>
        <v>1.0513955913798121</v>
      </c>
      <c r="G10" s="3">
        <f t="shared" ca="1" si="1"/>
        <v>1.267605633802817</v>
      </c>
      <c r="H10" s="3">
        <f t="shared" ca="1" si="1"/>
        <v>1.2425584261761415</v>
      </c>
      <c r="I10" s="3">
        <f t="shared" ca="1" si="1"/>
        <v>1.2107990010308183</v>
      </c>
      <c r="J10" s="3">
        <f t="shared" ca="1" si="1"/>
        <v>1.1738316876999051</v>
      </c>
      <c r="K10" s="3">
        <f t="shared" ca="1" si="1"/>
        <v>1.1329352890743201</v>
      </c>
      <c r="L10" s="3">
        <f t="shared" ca="1" si="1"/>
        <v>1.0891923818783207</v>
      </c>
      <c r="M10" s="3">
        <f t="shared" ca="1" si="1"/>
        <v>1.0435150827139938</v>
      </c>
      <c r="N10" s="3">
        <f t="shared" ca="1" si="1"/>
        <v>0.99666768718698384</v>
      </c>
      <c r="O10" s="3">
        <f t="shared" ca="1" si="1"/>
        <v>0.94928654390962297</v>
      </c>
      <c r="P10" s="3">
        <f t="shared" ca="1" si="1"/>
        <v>0.90189748463583597</v>
      </c>
      <c r="Q10" s="3">
        <f t="shared" ca="1" si="1"/>
        <v>0.8549310956801125</v>
      </c>
      <c r="R10" s="3">
        <f t="shared" ca="1" si="1"/>
        <v>0.80873608363265803</v>
      </c>
      <c r="S10" s="3">
        <f t="shared" ca="1" si="1"/>
        <v>0.76359095977741354</v>
      </c>
      <c r="T10" s="3">
        <f t="shared" ca="1" si="1"/>
        <v>0.71971424216728674</v>
      </c>
    </row>
    <row r="11" spans="1:20">
      <c r="B11" s="1">
        <f t="shared" si="3"/>
        <v>8</v>
      </c>
      <c r="C11" s="3">
        <f t="shared" ca="1" si="2"/>
        <v>0.54350274002889676</v>
      </c>
      <c r="D11" s="3">
        <f t="shared" ca="1" si="2"/>
        <v>0.67574634994616156</v>
      </c>
      <c r="E11" s="3">
        <f t="shared" ca="1" si="1"/>
        <v>0.82979468217363017</v>
      </c>
      <c r="F11" s="3">
        <f t="shared" ca="1" si="1"/>
        <v>1.0087714457833332</v>
      </c>
      <c r="G11" s="3">
        <f t="shared" ca="1" si="1"/>
        <v>1.2162162162162162</v>
      </c>
      <c r="H11" s="3">
        <f t="shared" ca="1" si="1"/>
        <v>1.1921844359257574</v>
      </c>
      <c r="I11" s="3">
        <f t="shared" ca="1" si="1"/>
        <v>1.1617125550430822</v>
      </c>
      <c r="J11" s="3">
        <f t="shared" ca="1" si="1"/>
        <v>1.126243916576936</v>
      </c>
      <c r="K11" s="3">
        <f t="shared" ca="1" si="1"/>
        <v>1.0870054800577935</v>
      </c>
      <c r="L11" s="3">
        <f t="shared" ca="1" si="1"/>
        <v>1.0450359339643347</v>
      </c>
      <c r="M11" s="3">
        <f t="shared" ca="1" si="1"/>
        <v>1.0012104171985616</v>
      </c>
      <c r="N11" s="3">
        <f t="shared" ca="1" si="1"/>
        <v>0.9562622404091331</v>
      </c>
      <c r="O11" s="3">
        <f t="shared" ca="1" si="1"/>
        <v>0.91080195429166533</v>
      </c>
      <c r="P11" s="3">
        <f t="shared" ca="1" si="1"/>
        <v>0.86533407309654531</v>
      </c>
      <c r="Q11" s="3">
        <f t="shared" ca="1" si="1"/>
        <v>0.82027172693632411</v>
      </c>
      <c r="R11" s="3">
        <f t="shared" ca="1" si="1"/>
        <v>0.77594948564755029</v>
      </c>
      <c r="S11" s="3">
        <f t="shared" ca="1" si="1"/>
        <v>0.73263456951616701</v>
      </c>
      <c r="T11" s="3">
        <f t="shared" ca="1" si="1"/>
        <v>0.69053663775509944</v>
      </c>
    </row>
    <row r="12" spans="1:20">
      <c r="B12" s="1">
        <f t="shared" si="3"/>
        <v>9</v>
      </c>
      <c r="C12" s="3">
        <f t="shared" ca="1" si="2"/>
        <v>0.52232730859919951</v>
      </c>
      <c r="D12" s="3">
        <f t="shared" ca="1" si="2"/>
        <v>0.64941857007812931</v>
      </c>
      <c r="E12" s="3">
        <f t="shared" ca="1" si="1"/>
        <v>0.79746501923180035</v>
      </c>
      <c r="F12" s="3">
        <f t="shared" ca="1" si="1"/>
        <v>0.96946866218138528</v>
      </c>
      <c r="G12" s="3">
        <f t="shared" ca="1" si="1"/>
        <v>1.1688311688311688</v>
      </c>
      <c r="H12" s="3">
        <f t="shared" ca="1" si="1"/>
        <v>1.1457356916689097</v>
      </c>
      <c r="I12" s="3">
        <f t="shared" ca="1" si="1"/>
        <v>1.1164510269245207</v>
      </c>
      <c r="J12" s="3">
        <f t="shared" ca="1" si="1"/>
        <v>1.082364283463549</v>
      </c>
      <c r="K12" s="3">
        <f t="shared" ca="1" si="1"/>
        <v>1.044654617198399</v>
      </c>
      <c r="L12" s="3">
        <f t="shared" ca="1" si="1"/>
        <v>1.0043202482254645</v>
      </c>
      <c r="M12" s="3">
        <f t="shared" ca="1" si="1"/>
        <v>0.96220221912589043</v>
      </c>
      <c r="N12" s="3">
        <f t="shared" ca="1" si="1"/>
        <v>0.91900527000358245</v>
      </c>
      <c r="O12" s="3">
        <f t="shared" ca="1" si="1"/>
        <v>0.87531616386471733</v>
      </c>
      <c r="P12" s="3">
        <f t="shared" ca="1" si="1"/>
        <v>0.83161975856031634</v>
      </c>
      <c r="Q12" s="3">
        <f t="shared" ca="1" si="1"/>
        <v>0.78831308822451929</v>
      </c>
      <c r="R12" s="3">
        <f t="shared" ca="1" si="1"/>
        <v>0.74571768750543799</v>
      </c>
      <c r="S12" s="3">
        <f t="shared" ca="1" si="1"/>
        <v>0.70409036550904369</v>
      </c>
      <c r="T12" s="3">
        <f t="shared" ca="1" si="1"/>
        <v>0.6636326129074982</v>
      </c>
    </row>
    <row r="13" spans="1:20">
      <c r="B13" s="1">
        <f t="shared" si="3"/>
        <v>10</v>
      </c>
      <c r="C13" s="3">
        <f t="shared" ca="1" si="2"/>
        <v>0.50274003452672955</v>
      </c>
      <c r="D13" s="3">
        <f t="shared" ca="1" si="2"/>
        <v>0.62506537370019943</v>
      </c>
      <c r="E13" s="3">
        <f t="shared" ca="1" si="1"/>
        <v>0.76756008101060791</v>
      </c>
      <c r="F13" s="3">
        <f t="shared" ca="1" si="1"/>
        <v>0.93311358734958327</v>
      </c>
      <c r="G13" s="3">
        <f t="shared" ca="1" si="1"/>
        <v>1.125</v>
      </c>
      <c r="H13" s="3">
        <f t="shared" ca="1" si="1"/>
        <v>1.1027706032313256</v>
      </c>
      <c r="I13" s="3">
        <f t="shared" ca="1" si="1"/>
        <v>1.0745841134148513</v>
      </c>
      <c r="J13" s="3">
        <f t="shared" ca="1" si="1"/>
        <v>1.0417756228336659</v>
      </c>
      <c r="K13" s="3">
        <f t="shared" ca="1" si="1"/>
        <v>1.0054800690534591</v>
      </c>
      <c r="L13" s="3">
        <f t="shared" ca="1" si="1"/>
        <v>0.96665823891700953</v>
      </c>
      <c r="M13" s="3">
        <f t="shared" ca="1" si="1"/>
        <v>0.92611963590866953</v>
      </c>
      <c r="N13" s="3">
        <f t="shared" ca="1" si="1"/>
        <v>0.88454257237844813</v>
      </c>
      <c r="O13" s="3">
        <f t="shared" ca="1" si="1"/>
        <v>0.84249180771979038</v>
      </c>
      <c r="P13" s="3">
        <f t="shared" ca="1" si="1"/>
        <v>0.80043401761430444</v>
      </c>
      <c r="Q13" s="3">
        <f t="shared" ca="1" si="1"/>
        <v>0.75875134741609984</v>
      </c>
      <c r="R13" s="3">
        <f t="shared" ca="1" si="1"/>
        <v>0.71775327422398405</v>
      </c>
      <c r="S13" s="3">
        <f t="shared" ca="1" si="1"/>
        <v>0.67768697680245449</v>
      </c>
      <c r="T13" s="3">
        <f t="shared" ca="1" si="1"/>
        <v>0.638746389923467</v>
      </c>
    </row>
    <row r="15" spans="1:20">
      <c r="A15" t="s">
        <v>4</v>
      </c>
      <c r="B15" s="3">
        <f ca="1">MIN(C4:T11)</f>
        <v>0.3622641509433962</v>
      </c>
    </row>
    <row r="16" spans="1:20">
      <c r="A16" t="s">
        <v>5</v>
      </c>
      <c r="B16" s="3">
        <f ca="1">MAX(C4:T11)</f>
        <v>1.4952821738729838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Albert Munoz Aneiros</cp:lastModifiedBy>
  <cp:revision/>
  <dcterms:created xsi:type="dcterms:W3CDTF">2024-12-10T02:03:12Z</dcterms:created>
  <dcterms:modified xsi:type="dcterms:W3CDTF">2025-02-14T21:45:52Z</dcterms:modified>
  <cp:category/>
  <cp:contentStatus/>
</cp:coreProperties>
</file>